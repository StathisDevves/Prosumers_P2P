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FRONTIERS New Prosumer Study/OUTPUT/ALL STRATEGIES/AFTER REVIEWER 2/COMPARISON WITH OTHER STUDIES/"/>
    </mc:Choice>
  </mc:AlternateContent>
  <xr:revisionPtr revIDLastSave="0" documentId="13_ncr:1_{2301EF3A-3F96-0048-B6B7-6335C43EAFBF}" xr6:coauthVersionLast="36" xr6:coauthVersionMax="36" xr10:uidLastSave="{00000000-0000-0000-0000-000000000000}"/>
  <bookViews>
    <workbookView xWindow="0" yWindow="500" windowWidth="28800" windowHeight="16360" firstSheet="1" activeTab="6" xr2:uid="{00000000-000D-0000-FFFF-FFFF00000000}"/>
  </bookViews>
  <sheets>
    <sheet name="Comparison" sheetId="1" r:id="rId1"/>
    <sheet name="Source_Totals" sheetId="2" r:id="rId2"/>
    <sheet name="Energy_36" sheetId="3" r:id="rId3"/>
    <sheet name="Cashflows_36" sheetId="4" r:id="rId4"/>
    <sheet name="Baseline_025" sheetId="5" r:id="rId5"/>
    <sheet name="Alpha_Ranges" sheetId="6" r:id="rId6"/>
    <sheet name="Capacity_Check" sheetId="7" r:id="rId7"/>
  </sheets>
  <calcPr calcId="181029"/>
</workbook>
</file>

<file path=xl/calcChain.xml><?xml version="1.0" encoding="utf-8"?>
<calcChain xmlns="http://schemas.openxmlformats.org/spreadsheetml/2006/main">
  <c r="H41" i="4" l="1"/>
  <c r="F41" i="4"/>
  <c r="E41" i="4"/>
  <c r="D41" i="4"/>
  <c r="C41" i="4"/>
  <c r="B41" i="4"/>
  <c r="A41" i="4"/>
  <c r="H40" i="4"/>
  <c r="F40" i="4"/>
  <c r="E40" i="4"/>
  <c r="D40" i="4"/>
  <c r="C40" i="4"/>
  <c r="B40" i="4"/>
  <c r="A40" i="4"/>
  <c r="H39" i="4"/>
  <c r="F39" i="4"/>
  <c r="E39" i="4"/>
  <c r="D39" i="4"/>
  <c r="C39" i="4"/>
  <c r="B39" i="4"/>
  <c r="A39" i="4"/>
  <c r="H38" i="4"/>
  <c r="F38" i="4"/>
  <c r="E38" i="4"/>
  <c r="D38" i="4"/>
  <c r="C38" i="4"/>
  <c r="B38" i="4"/>
  <c r="A38" i="4"/>
  <c r="H37" i="4"/>
  <c r="F37" i="4"/>
  <c r="E37" i="4"/>
  <c r="D37" i="4"/>
  <c r="C37" i="4"/>
  <c r="B37" i="4"/>
  <c r="A37" i="4"/>
  <c r="H36" i="4"/>
  <c r="F36" i="4"/>
  <c r="E36" i="4"/>
  <c r="D36" i="4"/>
  <c r="C36" i="4"/>
  <c r="B36" i="4"/>
  <c r="A36" i="4"/>
  <c r="H35" i="4"/>
  <c r="F35" i="4"/>
  <c r="E35" i="4"/>
  <c r="D35" i="4"/>
  <c r="C35" i="4"/>
  <c r="B35" i="4"/>
  <c r="A35" i="4"/>
  <c r="H34" i="4"/>
  <c r="F34" i="4"/>
  <c r="E34" i="4"/>
  <c r="D34" i="4"/>
  <c r="C34" i="4"/>
  <c r="B34" i="4"/>
  <c r="A34" i="4"/>
  <c r="H33" i="4"/>
  <c r="F33" i="4"/>
  <c r="E33" i="4"/>
  <c r="G33" i="4" s="1"/>
  <c r="L33" i="4" s="1"/>
  <c r="N33" i="4" s="1"/>
  <c r="D33" i="4"/>
  <c r="C33" i="4"/>
  <c r="B33" i="4"/>
  <c r="A33" i="4"/>
  <c r="H32" i="4"/>
  <c r="F32" i="4"/>
  <c r="E32" i="4"/>
  <c r="D32" i="4"/>
  <c r="C32" i="4"/>
  <c r="B32" i="4"/>
  <c r="A32" i="4"/>
  <c r="H31" i="4"/>
  <c r="F31" i="4"/>
  <c r="E31" i="4"/>
  <c r="D31" i="4"/>
  <c r="C31" i="4"/>
  <c r="B31" i="4"/>
  <c r="A31" i="4"/>
  <c r="H30" i="4"/>
  <c r="F30" i="4"/>
  <c r="E30" i="4"/>
  <c r="D30" i="4"/>
  <c r="C30" i="4"/>
  <c r="B30" i="4"/>
  <c r="A30" i="4"/>
  <c r="H29" i="4"/>
  <c r="F29" i="4"/>
  <c r="E29" i="4"/>
  <c r="D29" i="4"/>
  <c r="C29" i="4"/>
  <c r="B29" i="4"/>
  <c r="A29" i="4"/>
  <c r="H28" i="4"/>
  <c r="F28" i="4"/>
  <c r="E28" i="4"/>
  <c r="D28" i="4"/>
  <c r="C28" i="4"/>
  <c r="B28" i="4"/>
  <c r="A28" i="4"/>
  <c r="H27" i="4"/>
  <c r="G15" i="5" s="1"/>
  <c r="F27" i="4"/>
  <c r="E27" i="4"/>
  <c r="D27" i="4"/>
  <c r="C27" i="4"/>
  <c r="B27" i="4"/>
  <c r="A27" i="4"/>
  <c r="H26" i="4"/>
  <c r="F26" i="4"/>
  <c r="E26" i="4"/>
  <c r="D26" i="4"/>
  <c r="C26" i="4"/>
  <c r="B26" i="4"/>
  <c r="A26" i="4"/>
  <c r="H25" i="4"/>
  <c r="F25" i="4"/>
  <c r="E25" i="4"/>
  <c r="D25" i="4"/>
  <c r="C25" i="4"/>
  <c r="B25" i="4"/>
  <c r="A25" i="4"/>
  <c r="H24" i="4"/>
  <c r="F24" i="4"/>
  <c r="E24" i="4"/>
  <c r="D24" i="4"/>
  <c r="C24" i="4"/>
  <c r="B24" i="4"/>
  <c r="A24" i="4"/>
  <c r="H23" i="4"/>
  <c r="F23" i="4"/>
  <c r="E23" i="4"/>
  <c r="D23" i="4"/>
  <c r="C23" i="4"/>
  <c r="B23" i="4"/>
  <c r="A23" i="4"/>
  <c r="H22" i="4"/>
  <c r="F22" i="4"/>
  <c r="E22" i="4"/>
  <c r="D22" i="4"/>
  <c r="C22" i="4"/>
  <c r="B22" i="4"/>
  <c r="A22" i="4"/>
  <c r="H21" i="4"/>
  <c r="F21" i="4"/>
  <c r="E21" i="4"/>
  <c r="D21" i="4"/>
  <c r="C21" i="4"/>
  <c r="B21" i="4"/>
  <c r="A21" i="4"/>
  <c r="H20" i="4"/>
  <c r="F20" i="4"/>
  <c r="E20" i="4"/>
  <c r="D20" i="4"/>
  <c r="C20" i="4"/>
  <c r="B20" i="4"/>
  <c r="A20" i="4"/>
  <c r="H19" i="4"/>
  <c r="F19" i="4"/>
  <c r="E19" i="4"/>
  <c r="D19" i="4"/>
  <c r="C19" i="4"/>
  <c r="B19" i="4"/>
  <c r="A19" i="4"/>
  <c r="H18" i="4"/>
  <c r="F18" i="4"/>
  <c r="E18" i="4"/>
  <c r="D18" i="4"/>
  <c r="C18" i="4"/>
  <c r="B18" i="4"/>
  <c r="A18" i="4"/>
  <c r="H17" i="4"/>
  <c r="G17" i="6" s="1"/>
  <c r="F17" i="4"/>
  <c r="E17" i="4"/>
  <c r="D17" i="4"/>
  <c r="C17" i="4"/>
  <c r="B17" i="4"/>
  <c r="A17" i="4"/>
  <c r="H16" i="4"/>
  <c r="F16" i="4"/>
  <c r="E16" i="4"/>
  <c r="D16" i="4"/>
  <c r="C16" i="4"/>
  <c r="B16" i="4"/>
  <c r="A16" i="4"/>
  <c r="H15" i="4"/>
  <c r="G15" i="6" s="1"/>
  <c r="F15" i="4"/>
  <c r="E15" i="4"/>
  <c r="D15" i="4"/>
  <c r="C15" i="4"/>
  <c r="B15" i="4"/>
  <c r="A15" i="4"/>
  <c r="H14" i="4"/>
  <c r="F14" i="4"/>
  <c r="E14" i="4"/>
  <c r="D14" i="4"/>
  <c r="C14" i="4"/>
  <c r="B14" i="4"/>
  <c r="A14" i="4"/>
  <c r="H13" i="4"/>
  <c r="G13" i="6" s="1"/>
  <c r="F13" i="4"/>
  <c r="E13" i="4"/>
  <c r="J13" i="4" s="1"/>
  <c r="D13" i="4"/>
  <c r="C13" i="4"/>
  <c r="B13" i="4"/>
  <c r="A13" i="4"/>
  <c r="H12" i="4"/>
  <c r="F12" i="4"/>
  <c r="E12" i="4"/>
  <c r="D12" i="4"/>
  <c r="C12" i="4"/>
  <c r="B12" i="4"/>
  <c r="A12" i="4"/>
  <c r="H11" i="4"/>
  <c r="G11" i="6" s="1"/>
  <c r="F11" i="4"/>
  <c r="E11" i="4"/>
  <c r="D11" i="4"/>
  <c r="C11" i="4"/>
  <c r="B11" i="4"/>
  <c r="A11" i="4"/>
  <c r="H10" i="4"/>
  <c r="F10" i="4"/>
  <c r="E10" i="4"/>
  <c r="D10" i="4"/>
  <c r="C10" i="4"/>
  <c r="B10" i="4"/>
  <c r="A10" i="4"/>
  <c r="H9" i="4"/>
  <c r="G9" i="6" s="1"/>
  <c r="F9" i="4"/>
  <c r="E9" i="4"/>
  <c r="J9" i="4" s="1"/>
  <c r="D9" i="4"/>
  <c r="C9" i="4"/>
  <c r="B9" i="4"/>
  <c r="A9" i="4"/>
  <c r="H8" i="4"/>
  <c r="F8" i="4"/>
  <c r="E8" i="4"/>
  <c r="D8" i="4"/>
  <c r="C8" i="4"/>
  <c r="B8" i="4"/>
  <c r="A8" i="4"/>
  <c r="H7" i="4"/>
  <c r="G7" i="6" s="1"/>
  <c r="F7" i="4"/>
  <c r="E7" i="4"/>
  <c r="D7" i="4"/>
  <c r="C7" i="4"/>
  <c r="B7" i="4"/>
  <c r="A7" i="4"/>
  <c r="H6" i="4"/>
  <c r="F6" i="4"/>
  <c r="E6" i="4"/>
  <c r="D6" i="4"/>
  <c r="C6" i="4"/>
  <c r="B6" i="4"/>
  <c r="A6" i="4"/>
  <c r="R41" i="3"/>
  <c r="M41" i="3"/>
  <c r="L41" i="3"/>
  <c r="K41" i="3"/>
  <c r="I41" i="3"/>
  <c r="J14" i="7" s="1"/>
  <c r="H41" i="3"/>
  <c r="H14" i="7" s="1"/>
  <c r="G41" i="3"/>
  <c r="F41" i="3"/>
  <c r="E41" i="3"/>
  <c r="D41" i="3"/>
  <c r="C41" i="3"/>
  <c r="B41" i="3"/>
  <c r="A41" i="3"/>
  <c r="R40" i="3"/>
  <c r="M40" i="3"/>
  <c r="L40" i="3"/>
  <c r="K40" i="3"/>
  <c r="E16" i="6" s="1"/>
  <c r="I40" i="3"/>
  <c r="H40" i="3"/>
  <c r="J40" i="3" s="1"/>
  <c r="G40" i="3"/>
  <c r="F40" i="3"/>
  <c r="E40" i="3"/>
  <c r="D40" i="3"/>
  <c r="C40" i="3"/>
  <c r="B40" i="3"/>
  <c r="A40" i="3"/>
  <c r="R39" i="3"/>
  <c r="M39" i="3"/>
  <c r="L39" i="3"/>
  <c r="K39" i="3"/>
  <c r="E15" i="6" s="1"/>
  <c r="I39" i="3"/>
  <c r="H39" i="3"/>
  <c r="G39" i="3"/>
  <c r="F39" i="3"/>
  <c r="E39" i="3"/>
  <c r="P39" i="3" s="1"/>
  <c r="D39" i="3"/>
  <c r="C39" i="3"/>
  <c r="B39" i="3"/>
  <c r="A39" i="3"/>
  <c r="R38" i="3"/>
  <c r="M38" i="3"/>
  <c r="L38" i="3"/>
  <c r="K38" i="3"/>
  <c r="I38" i="3"/>
  <c r="H38" i="3"/>
  <c r="G14" i="7" s="1"/>
  <c r="G38" i="3"/>
  <c r="F38" i="3"/>
  <c r="E38" i="3"/>
  <c r="D38" i="3"/>
  <c r="C38" i="3"/>
  <c r="A14" i="7" s="1"/>
  <c r="B38" i="3"/>
  <c r="B14" i="7" s="1"/>
  <c r="A38" i="3"/>
  <c r="R37" i="3"/>
  <c r="M37" i="3"/>
  <c r="L37" i="3"/>
  <c r="K37" i="3"/>
  <c r="I37" i="3"/>
  <c r="J13" i="7" s="1"/>
  <c r="H37" i="3"/>
  <c r="H13" i="7" s="1"/>
  <c r="G37" i="3"/>
  <c r="F37" i="3"/>
  <c r="E37" i="3"/>
  <c r="D37" i="3"/>
  <c r="C37" i="3"/>
  <c r="B37" i="3"/>
  <c r="A37" i="3"/>
  <c r="R36" i="3"/>
  <c r="M36" i="3"/>
  <c r="L36" i="3"/>
  <c r="K36" i="3"/>
  <c r="E12" i="6" s="1"/>
  <c r="I36" i="3"/>
  <c r="H36" i="3"/>
  <c r="J36" i="3" s="1"/>
  <c r="G36" i="3"/>
  <c r="F36" i="3"/>
  <c r="E36" i="3"/>
  <c r="D36" i="3"/>
  <c r="C36" i="3"/>
  <c r="B36" i="3"/>
  <c r="A36" i="3"/>
  <c r="R35" i="3"/>
  <c r="M35" i="3"/>
  <c r="L35" i="3"/>
  <c r="K35" i="3"/>
  <c r="E11" i="6" s="1"/>
  <c r="I35" i="3"/>
  <c r="H35" i="3"/>
  <c r="G35" i="3"/>
  <c r="F35" i="3"/>
  <c r="E35" i="3"/>
  <c r="P35" i="3" s="1"/>
  <c r="D35" i="3"/>
  <c r="C35" i="3"/>
  <c r="B35" i="3"/>
  <c r="A35" i="3"/>
  <c r="R34" i="3"/>
  <c r="M34" i="3"/>
  <c r="L34" i="3"/>
  <c r="K34" i="3"/>
  <c r="I34" i="3"/>
  <c r="H34" i="3"/>
  <c r="G13" i="7" s="1"/>
  <c r="G34" i="3"/>
  <c r="F34" i="3"/>
  <c r="E34" i="3"/>
  <c r="D34" i="3"/>
  <c r="C34" i="3"/>
  <c r="A13" i="7" s="1"/>
  <c r="B34" i="3"/>
  <c r="B13" i="7" s="1"/>
  <c r="A34" i="3"/>
  <c r="R33" i="3"/>
  <c r="M33" i="3"/>
  <c r="L33" i="3"/>
  <c r="K33" i="3"/>
  <c r="I33" i="3"/>
  <c r="J12" i="7" s="1"/>
  <c r="H33" i="3"/>
  <c r="H12" i="7" s="1"/>
  <c r="G33" i="3"/>
  <c r="F33" i="3"/>
  <c r="E33" i="3"/>
  <c r="D33" i="3"/>
  <c r="C33" i="3"/>
  <c r="B33" i="3"/>
  <c r="A33" i="3"/>
  <c r="R32" i="3"/>
  <c r="M32" i="3"/>
  <c r="L32" i="3"/>
  <c r="K32" i="3"/>
  <c r="E8" i="6" s="1"/>
  <c r="I32" i="3"/>
  <c r="H32" i="3"/>
  <c r="J32" i="3" s="1"/>
  <c r="G32" i="3"/>
  <c r="F32" i="3"/>
  <c r="E32" i="3"/>
  <c r="D32" i="3"/>
  <c r="C32" i="3"/>
  <c r="B32" i="3"/>
  <c r="A32" i="3"/>
  <c r="R31" i="3"/>
  <c r="M31" i="3"/>
  <c r="L31" i="3"/>
  <c r="K31" i="3"/>
  <c r="E7" i="6" s="1"/>
  <c r="I31" i="3"/>
  <c r="H31" i="3"/>
  <c r="G31" i="3"/>
  <c r="F31" i="3"/>
  <c r="E31" i="3"/>
  <c r="D31" i="3"/>
  <c r="C31" i="3"/>
  <c r="B31" i="3"/>
  <c r="A31" i="3"/>
  <c r="R30" i="3"/>
  <c r="M30" i="3"/>
  <c r="L30" i="3"/>
  <c r="K30" i="3"/>
  <c r="I30" i="3"/>
  <c r="I12" i="7" s="1"/>
  <c r="H30" i="3"/>
  <c r="G12" i="7" s="1"/>
  <c r="G30" i="3"/>
  <c r="F30" i="3"/>
  <c r="E30" i="3"/>
  <c r="D30" i="3"/>
  <c r="C30" i="3"/>
  <c r="A12" i="7" s="1"/>
  <c r="B30" i="3"/>
  <c r="B12" i="7" s="1"/>
  <c r="A30" i="3"/>
  <c r="R29" i="3"/>
  <c r="M29" i="3"/>
  <c r="L29" i="3"/>
  <c r="K29" i="3"/>
  <c r="I29" i="3"/>
  <c r="H29" i="3"/>
  <c r="G29" i="3"/>
  <c r="F29" i="3"/>
  <c r="E29" i="3"/>
  <c r="D29" i="3"/>
  <c r="C29" i="3"/>
  <c r="B29" i="3"/>
  <c r="A29" i="3"/>
  <c r="R28" i="3"/>
  <c r="M28" i="3"/>
  <c r="L28" i="3"/>
  <c r="K28" i="3"/>
  <c r="I28" i="3"/>
  <c r="D16" i="5" s="1"/>
  <c r="H28" i="3"/>
  <c r="C16" i="5" s="1"/>
  <c r="G28" i="3"/>
  <c r="F28" i="3"/>
  <c r="E28" i="3"/>
  <c r="D28" i="3"/>
  <c r="B16" i="6" s="1"/>
  <c r="C28" i="3"/>
  <c r="B28" i="3"/>
  <c r="A28" i="3"/>
  <c r="R27" i="3"/>
  <c r="M27" i="3"/>
  <c r="L27" i="3"/>
  <c r="K27" i="3"/>
  <c r="I27" i="3"/>
  <c r="H27" i="3"/>
  <c r="C15" i="5" s="1"/>
  <c r="G27" i="3"/>
  <c r="F27" i="3"/>
  <c r="E27" i="3"/>
  <c r="P27" i="3" s="1"/>
  <c r="I15" i="5" s="1"/>
  <c r="D27" i="3"/>
  <c r="C27" i="3"/>
  <c r="B27" i="3"/>
  <c r="A27" i="3"/>
  <c r="R26" i="3"/>
  <c r="M26" i="3"/>
  <c r="L26" i="3"/>
  <c r="K26" i="3"/>
  <c r="I26" i="3"/>
  <c r="H26" i="3"/>
  <c r="G26" i="3"/>
  <c r="F26" i="3"/>
  <c r="E26" i="3"/>
  <c r="D26" i="3"/>
  <c r="C26" i="3"/>
  <c r="B26" i="3"/>
  <c r="B11" i="7" s="1"/>
  <c r="A26" i="3"/>
  <c r="R25" i="3"/>
  <c r="M25" i="3"/>
  <c r="L25" i="3"/>
  <c r="K25" i="3"/>
  <c r="E13" i="5" s="1"/>
  <c r="I25" i="3"/>
  <c r="H25" i="3"/>
  <c r="G25" i="3"/>
  <c r="F25" i="3"/>
  <c r="E25" i="3"/>
  <c r="D25" i="3"/>
  <c r="C25" i="3"/>
  <c r="B25" i="3"/>
  <c r="A25" i="3"/>
  <c r="R24" i="3"/>
  <c r="M24" i="3"/>
  <c r="L24" i="3"/>
  <c r="K24" i="3"/>
  <c r="I24" i="3"/>
  <c r="D12" i="5" s="1"/>
  <c r="H24" i="3"/>
  <c r="C12" i="5" s="1"/>
  <c r="G24" i="3"/>
  <c r="F24" i="3"/>
  <c r="E24" i="3"/>
  <c r="D24" i="3"/>
  <c r="C24" i="3"/>
  <c r="B24" i="3"/>
  <c r="A24" i="3"/>
  <c r="R23" i="3"/>
  <c r="M23" i="3"/>
  <c r="L23" i="3"/>
  <c r="K23" i="3"/>
  <c r="I23" i="3"/>
  <c r="H23" i="3"/>
  <c r="C11" i="5" s="1"/>
  <c r="G23" i="3"/>
  <c r="F23" i="3"/>
  <c r="E23" i="3"/>
  <c r="D23" i="3"/>
  <c r="C23" i="3"/>
  <c r="B23" i="3"/>
  <c r="A23" i="3"/>
  <c r="R22" i="3"/>
  <c r="M22" i="3"/>
  <c r="L22" i="3"/>
  <c r="K22" i="3"/>
  <c r="I22" i="3"/>
  <c r="H22" i="3"/>
  <c r="G22" i="3"/>
  <c r="F22" i="3"/>
  <c r="E22" i="3"/>
  <c r="D22" i="3"/>
  <c r="C22" i="3"/>
  <c r="B22" i="3"/>
  <c r="B10" i="7" s="1"/>
  <c r="A22" i="3"/>
  <c r="R21" i="3"/>
  <c r="M21" i="3"/>
  <c r="L21" i="3"/>
  <c r="K21" i="3"/>
  <c r="I21" i="3"/>
  <c r="H21" i="3"/>
  <c r="G21" i="3"/>
  <c r="F21" i="3"/>
  <c r="E21" i="3"/>
  <c r="D21" i="3"/>
  <c r="B9" i="5" s="1"/>
  <c r="C21" i="3"/>
  <c r="B21" i="3"/>
  <c r="A21" i="3"/>
  <c r="R20" i="3"/>
  <c r="M20" i="3"/>
  <c r="L20" i="3"/>
  <c r="K20" i="3"/>
  <c r="I20" i="3"/>
  <c r="D8" i="5" s="1"/>
  <c r="H20" i="3"/>
  <c r="C8" i="5" s="1"/>
  <c r="G20" i="3"/>
  <c r="F20" i="3"/>
  <c r="E20" i="3"/>
  <c r="D20" i="3"/>
  <c r="B8" i="6" s="1"/>
  <c r="C20" i="3"/>
  <c r="B20" i="3"/>
  <c r="A20" i="3"/>
  <c r="R19" i="3"/>
  <c r="M19" i="3"/>
  <c r="L19" i="3"/>
  <c r="K19" i="3"/>
  <c r="I19" i="3"/>
  <c r="H19" i="3"/>
  <c r="C7" i="5" s="1"/>
  <c r="G19" i="3"/>
  <c r="F19" i="3"/>
  <c r="E19" i="3"/>
  <c r="D19" i="3"/>
  <c r="C19" i="3"/>
  <c r="B19" i="3"/>
  <c r="A19" i="3"/>
  <c r="R18" i="3"/>
  <c r="M18" i="3"/>
  <c r="L18" i="3"/>
  <c r="K18" i="3"/>
  <c r="I18" i="3"/>
  <c r="H18" i="3"/>
  <c r="G18" i="3"/>
  <c r="F18" i="3"/>
  <c r="E18" i="3"/>
  <c r="D18" i="3"/>
  <c r="B6" i="6" s="1"/>
  <c r="C18" i="3"/>
  <c r="B18" i="3"/>
  <c r="B9" i="7" s="1"/>
  <c r="A18" i="3"/>
  <c r="R17" i="3"/>
  <c r="M17" i="3"/>
  <c r="L17" i="3"/>
  <c r="K17" i="3"/>
  <c r="D8" i="7" s="1"/>
  <c r="I17" i="3"/>
  <c r="H17" i="3"/>
  <c r="H8" i="7" s="1"/>
  <c r="G17" i="3"/>
  <c r="F17" i="3"/>
  <c r="E17" i="3"/>
  <c r="D17" i="3"/>
  <c r="C17" i="3"/>
  <c r="B17" i="3"/>
  <c r="A17" i="3"/>
  <c r="R16" i="3"/>
  <c r="M16" i="3"/>
  <c r="L16" i="3"/>
  <c r="K16" i="3"/>
  <c r="C16" i="6" s="1"/>
  <c r="I16" i="3"/>
  <c r="H16" i="3"/>
  <c r="G16" i="3"/>
  <c r="F16" i="3"/>
  <c r="E16" i="3"/>
  <c r="D16" i="3"/>
  <c r="C16" i="3"/>
  <c r="B16" i="3"/>
  <c r="A16" i="3"/>
  <c r="R15" i="3"/>
  <c r="M15" i="3"/>
  <c r="L15" i="3"/>
  <c r="K15" i="3"/>
  <c r="C15" i="6" s="1"/>
  <c r="I15" i="3"/>
  <c r="H15" i="3"/>
  <c r="G15" i="3"/>
  <c r="F15" i="3"/>
  <c r="E15" i="3"/>
  <c r="D15" i="3"/>
  <c r="C15" i="3"/>
  <c r="B15" i="3"/>
  <c r="A15" i="3"/>
  <c r="R14" i="3"/>
  <c r="M14" i="3"/>
  <c r="L14" i="3"/>
  <c r="K14" i="3"/>
  <c r="I14" i="3"/>
  <c r="I8" i="7" s="1"/>
  <c r="H14" i="3"/>
  <c r="G8" i="7" s="1"/>
  <c r="G14" i="3"/>
  <c r="F14" i="3"/>
  <c r="E14" i="3"/>
  <c r="D14" i="3"/>
  <c r="C14" i="3"/>
  <c r="A8" i="7" s="1"/>
  <c r="B14" i="3"/>
  <c r="B8" i="7" s="1"/>
  <c r="A14" i="3"/>
  <c r="R13" i="3"/>
  <c r="M13" i="3"/>
  <c r="L13" i="3"/>
  <c r="K13" i="3"/>
  <c r="I13" i="3"/>
  <c r="H13" i="3"/>
  <c r="H7" i="7" s="1"/>
  <c r="G13" i="3"/>
  <c r="F13" i="3"/>
  <c r="E13" i="3"/>
  <c r="D13" i="3"/>
  <c r="C13" i="3"/>
  <c r="B13" i="3"/>
  <c r="A13" i="3"/>
  <c r="R12" i="3"/>
  <c r="M12" i="3"/>
  <c r="L12" i="3"/>
  <c r="K12" i="3"/>
  <c r="C12" i="6" s="1"/>
  <c r="I12" i="3"/>
  <c r="H12" i="3"/>
  <c r="G12" i="3"/>
  <c r="F12" i="3"/>
  <c r="E12" i="3"/>
  <c r="D12" i="3"/>
  <c r="C12" i="3"/>
  <c r="B12" i="3"/>
  <c r="A12" i="3"/>
  <c r="R11" i="3"/>
  <c r="M11" i="3"/>
  <c r="L11" i="3"/>
  <c r="K11" i="3"/>
  <c r="C11" i="6" s="1"/>
  <c r="I11" i="3"/>
  <c r="H11" i="3"/>
  <c r="G11" i="3"/>
  <c r="F11" i="3"/>
  <c r="E11" i="3"/>
  <c r="D11" i="3"/>
  <c r="C11" i="3"/>
  <c r="B11" i="3"/>
  <c r="A11" i="3"/>
  <c r="R10" i="3"/>
  <c r="M10" i="3"/>
  <c r="L10" i="3"/>
  <c r="K10" i="3"/>
  <c r="I10" i="3"/>
  <c r="I7" i="7" s="1"/>
  <c r="H10" i="3"/>
  <c r="G7" i="7" s="1"/>
  <c r="G10" i="3"/>
  <c r="F10" i="3"/>
  <c r="E10" i="3"/>
  <c r="D10" i="3"/>
  <c r="C10" i="3"/>
  <c r="A7" i="7" s="1"/>
  <c r="B10" i="3"/>
  <c r="B7" i="7" s="1"/>
  <c r="A10" i="3"/>
  <c r="R9" i="3"/>
  <c r="M9" i="3"/>
  <c r="L9" i="3"/>
  <c r="K9" i="3"/>
  <c r="I9" i="3"/>
  <c r="H9" i="3"/>
  <c r="H6" i="7" s="1"/>
  <c r="G9" i="3"/>
  <c r="F9" i="3"/>
  <c r="E9" i="3"/>
  <c r="D9" i="3"/>
  <c r="C9" i="3"/>
  <c r="B9" i="3"/>
  <c r="A9" i="3"/>
  <c r="R8" i="3"/>
  <c r="M8" i="3"/>
  <c r="L8" i="3"/>
  <c r="K8" i="3"/>
  <c r="C8" i="6" s="1"/>
  <c r="I8" i="3"/>
  <c r="H8" i="3"/>
  <c r="G8" i="3"/>
  <c r="F8" i="3"/>
  <c r="E8" i="3"/>
  <c r="D8" i="3"/>
  <c r="C8" i="3"/>
  <c r="B8" i="3"/>
  <c r="A8" i="3"/>
  <c r="R7" i="3"/>
  <c r="M7" i="3"/>
  <c r="L7" i="3"/>
  <c r="K7" i="3"/>
  <c r="C7" i="6" s="1"/>
  <c r="I7" i="3"/>
  <c r="H7" i="3"/>
  <c r="G7" i="3"/>
  <c r="F7" i="3"/>
  <c r="E7" i="3"/>
  <c r="D7" i="3"/>
  <c r="C7" i="3"/>
  <c r="B7" i="3"/>
  <c r="A7" i="3"/>
  <c r="R6" i="3"/>
  <c r="M6" i="3"/>
  <c r="L6" i="3"/>
  <c r="K6" i="3"/>
  <c r="I6" i="3"/>
  <c r="I6" i="7" s="1"/>
  <c r="H6" i="3"/>
  <c r="G6" i="7" s="1"/>
  <c r="G6" i="3"/>
  <c r="F6" i="3"/>
  <c r="E6" i="3"/>
  <c r="D6" i="3"/>
  <c r="C6" i="3"/>
  <c r="A6" i="7" s="1"/>
  <c r="B6" i="3"/>
  <c r="B6" i="7" s="1"/>
  <c r="A6" i="3"/>
  <c r="Q9" i="3" l="1"/>
  <c r="Q17" i="3"/>
  <c r="P17" i="3"/>
  <c r="N19" i="3"/>
  <c r="O19" i="3" s="1"/>
  <c r="Q25" i="3"/>
  <c r="G40" i="4"/>
  <c r="J26" i="4"/>
  <c r="J14" i="5" s="1"/>
  <c r="P25" i="3"/>
  <c r="I13" i="5" s="1"/>
  <c r="N27" i="3"/>
  <c r="N35" i="3"/>
  <c r="O35" i="3" s="1"/>
  <c r="F15" i="6"/>
  <c r="J8" i="4"/>
  <c r="J12" i="4"/>
  <c r="J16" i="4"/>
  <c r="J20" i="4"/>
  <c r="J8" i="5" s="1"/>
  <c r="J25" i="4"/>
  <c r="J13" i="5" s="1"/>
  <c r="J32" i="4"/>
  <c r="Q11" i="3"/>
  <c r="Q15" i="3"/>
  <c r="Q29" i="3"/>
  <c r="J12" i="3"/>
  <c r="J16" i="3"/>
  <c r="J15" i="4"/>
  <c r="J19" i="4"/>
  <c r="J7" i="5" s="1"/>
  <c r="J23" i="4"/>
  <c r="J11" i="5" s="1"/>
  <c r="G27" i="4"/>
  <c r="F15" i="5" s="1"/>
  <c r="G39" i="4"/>
  <c r="I39" i="4" s="1"/>
  <c r="L40" i="4"/>
  <c r="N40" i="4" s="1"/>
  <c r="Q23" i="3"/>
  <c r="Q13" i="3"/>
  <c r="Q31" i="3"/>
  <c r="J7" i="4"/>
  <c r="J11" i="4"/>
  <c r="J29" i="4"/>
  <c r="J17" i="5" s="1"/>
  <c r="J40" i="4"/>
  <c r="Q7" i="3"/>
  <c r="N11" i="3"/>
  <c r="P19" i="3"/>
  <c r="I7" i="5" s="1"/>
  <c r="Q21" i="3"/>
  <c r="J35" i="3"/>
  <c r="P36" i="3"/>
  <c r="J39" i="3"/>
  <c r="P40" i="3"/>
  <c r="J6" i="4"/>
  <c r="J10" i="4"/>
  <c r="J14" i="4"/>
  <c r="J18" i="4"/>
  <c r="J6" i="5" s="1"/>
  <c r="J22" i="4"/>
  <c r="J10" i="5" s="1"/>
  <c r="J35" i="4"/>
  <c r="J36" i="4"/>
  <c r="L39" i="4"/>
  <c r="N39" i="4" s="1"/>
  <c r="J17" i="4"/>
  <c r="J21" i="4"/>
  <c r="J9" i="5" s="1"/>
  <c r="F11" i="6"/>
  <c r="J7" i="3"/>
  <c r="N9" i="3"/>
  <c r="O9" i="3" s="1"/>
  <c r="P15" i="3"/>
  <c r="L15" i="6" s="1"/>
  <c r="J15" i="3"/>
  <c r="N17" i="3"/>
  <c r="P23" i="3"/>
  <c r="I11" i="5" s="1"/>
  <c r="N25" i="3"/>
  <c r="O25" i="3" s="1"/>
  <c r="P31" i="3"/>
  <c r="J31" i="3"/>
  <c r="Q32" i="3"/>
  <c r="N33" i="3"/>
  <c r="O33" i="3" s="1"/>
  <c r="J33" i="3"/>
  <c r="Q35" i="3"/>
  <c r="N37" i="3"/>
  <c r="O37" i="3" s="1"/>
  <c r="J37" i="3"/>
  <c r="Q39" i="3"/>
  <c r="N41" i="3"/>
  <c r="O41" i="3" s="1"/>
  <c r="J41" i="3"/>
  <c r="G25" i="4"/>
  <c r="F13" i="5" s="1"/>
  <c r="J28" i="4"/>
  <c r="J16" i="5" s="1"/>
  <c r="J34" i="4"/>
  <c r="J39" i="4"/>
  <c r="B9" i="6"/>
  <c r="N7" i="3"/>
  <c r="O7" i="3" s="1"/>
  <c r="O11" i="3"/>
  <c r="P13" i="3"/>
  <c r="P29" i="3"/>
  <c r="I17" i="5" s="1"/>
  <c r="N31" i="3"/>
  <c r="O31" i="3" s="1"/>
  <c r="F7" i="6"/>
  <c r="P33" i="3"/>
  <c r="P34" i="3"/>
  <c r="N36" i="3"/>
  <c r="Q36" i="3"/>
  <c r="P38" i="3"/>
  <c r="N40" i="3"/>
  <c r="O40" i="3" s="1"/>
  <c r="Q40" i="3"/>
  <c r="P41" i="3"/>
  <c r="J31" i="4"/>
  <c r="G38" i="4"/>
  <c r="L38" i="4" s="1"/>
  <c r="N38" i="4" s="1"/>
  <c r="B6" i="5"/>
  <c r="N15" i="3"/>
  <c r="O15" i="3" s="1"/>
  <c r="P21" i="3"/>
  <c r="I9" i="5" s="1"/>
  <c r="N23" i="3"/>
  <c r="O23" i="3" s="1"/>
  <c r="J8" i="3"/>
  <c r="J11" i="3"/>
  <c r="N13" i="3"/>
  <c r="O13" i="3" s="1"/>
  <c r="Q19" i="3"/>
  <c r="N21" i="3"/>
  <c r="O21" i="3" s="1"/>
  <c r="Q27" i="3"/>
  <c r="N29" i="3"/>
  <c r="Q34" i="3"/>
  <c r="Q38" i="3"/>
  <c r="G7" i="4"/>
  <c r="I7" i="4" s="1"/>
  <c r="G9" i="4"/>
  <c r="I9" i="4" s="1"/>
  <c r="G11" i="4"/>
  <c r="I11" i="4" s="1"/>
  <c r="G13" i="4"/>
  <c r="K13" i="4" s="1"/>
  <c r="G15" i="4"/>
  <c r="I15" i="4" s="1"/>
  <c r="G17" i="4"/>
  <c r="K17" i="4" s="1"/>
  <c r="G19" i="4"/>
  <c r="I19" i="4" s="1"/>
  <c r="G21" i="4"/>
  <c r="I21" i="4" s="1"/>
  <c r="G23" i="4"/>
  <c r="K23" i="4" s="1"/>
  <c r="J27" i="4"/>
  <c r="J15" i="5" s="1"/>
  <c r="G29" i="4"/>
  <c r="F17" i="5" s="1"/>
  <c r="J33" i="4"/>
  <c r="G35" i="4"/>
  <c r="L35" i="4" s="1"/>
  <c r="N35" i="4" s="1"/>
  <c r="J37" i="4"/>
  <c r="G41" i="4"/>
  <c r="L41" i="4" s="1"/>
  <c r="N41" i="4" s="1"/>
  <c r="C17" i="6"/>
  <c r="Q10" i="3"/>
  <c r="P10" i="3"/>
  <c r="P12" i="3"/>
  <c r="Q12" i="3"/>
  <c r="P14" i="3"/>
  <c r="Q14" i="3"/>
  <c r="M15" i="6"/>
  <c r="J8" i="7"/>
  <c r="K8" i="7" s="1"/>
  <c r="J17" i="3"/>
  <c r="J9" i="7"/>
  <c r="J21" i="3"/>
  <c r="D9" i="5"/>
  <c r="D15" i="5"/>
  <c r="J27" i="3"/>
  <c r="G6" i="4"/>
  <c r="L6" i="4" s="1"/>
  <c r="N6" i="4" s="1"/>
  <c r="G8" i="4"/>
  <c r="L8" i="4" s="1"/>
  <c r="N8" i="4" s="1"/>
  <c r="G10" i="4"/>
  <c r="L10" i="4" s="1"/>
  <c r="N10" i="4" s="1"/>
  <c r="G12" i="4"/>
  <c r="L12" i="4" s="1"/>
  <c r="N12" i="4" s="1"/>
  <c r="G14" i="4"/>
  <c r="L14" i="4" s="1"/>
  <c r="N14" i="4" s="1"/>
  <c r="G16" i="4"/>
  <c r="L16" i="4" s="1"/>
  <c r="N16" i="4" s="1"/>
  <c r="I17" i="4"/>
  <c r="G18" i="4"/>
  <c r="I18" i="4" s="1"/>
  <c r="G20" i="4"/>
  <c r="I20" i="4" s="1"/>
  <c r="G22" i="4"/>
  <c r="I22" i="4" s="1"/>
  <c r="I23" i="4"/>
  <c r="G24" i="4"/>
  <c r="I24" i="4" s="1"/>
  <c r="J24" i="4"/>
  <c r="J12" i="5" s="1"/>
  <c r="Q6" i="3"/>
  <c r="P6" i="3"/>
  <c r="Q8" i="3"/>
  <c r="P8" i="3"/>
  <c r="J6" i="7"/>
  <c r="K6" i="7" s="1"/>
  <c r="J9" i="3"/>
  <c r="P18" i="3"/>
  <c r="I6" i="5" s="1"/>
  <c r="Q18" i="3"/>
  <c r="D7" i="5"/>
  <c r="J19" i="3"/>
  <c r="A10" i="7"/>
  <c r="A10" i="6"/>
  <c r="A10" i="5"/>
  <c r="P22" i="3"/>
  <c r="I10" i="5" s="1"/>
  <c r="Q22" i="3"/>
  <c r="D11" i="5"/>
  <c r="J23" i="3"/>
  <c r="D13" i="5"/>
  <c r="J10" i="7"/>
  <c r="J25" i="3"/>
  <c r="Q26" i="3"/>
  <c r="P26" i="3"/>
  <c r="I14" i="5" s="1"/>
  <c r="A16" i="6"/>
  <c r="A16" i="5"/>
  <c r="P7" i="3"/>
  <c r="P9" i="3"/>
  <c r="P11" i="3"/>
  <c r="P32" i="3"/>
  <c r="N39" i="3"/>
  <c r="O39" i="3" s="1"/>
  <c r="K7" i="4"/>
  <c r="L9" i="4"/>
  <c r="N9" i="4" s="1"/>
  <c r="K15" i="4"/>
  <c r="L17" i="4"/>
  <c r="N17" i="4" s="1"/>
  <c r="K19" i="4"/>
  <c r="F11" i="5"/>
  <c r="L23" i="4"/>
  <c r="N23" i="4" s="1"/>
  <c r="I6" i="6"/>
  <c r="J30" i="4"/>
  <c r="J7" i="7"/>
  <c r="K7" i="7" s="1"/>
  <c r="J13" i="3"/>
  <c r="P16" i="3"/>
  <c r="Q16" i="3"/>
  <c r="A9" i="7"/>
  <c r="A6" i="5"/>
  <c r="A6" i="6"/>
  <c r="A8" i="5"/>
  <c r="A8" i="6"/>
  <c r="P20" i="3"/>
  <c r="I8" i="5" s="1"/>
  <c r="Q20" i="3"/>
  <c r="A12" i="6"/>
  <c r="A12" i="5"/>
  <c r="P24" i="3"/>
  <c r="I12" i="5" s="1"/>
  <c r="Q24" i="3"/>
  <c r="A14" i="6"/>
  <c r="A11" i="7"/>
  <c r="A14" i="5"/>
  <c r="P28" i="3"/>
  <c r="I16" i="5" s="1"/>
  <c r="Q28" i="3"/>
  <c r="J11" i="7"/>
  <c r="D17" i="5"/>
  <c r="J29" i="3"/>
  <c r="P30" i="3"/>
  <c r="Q30" i="3"/>
  <c r="I14" i="7"/>
  <c r="K14" i="7" s="1"/>
  <c r="J38" i="3"/>
  <c r="N6" i="3"/>
  <c r="O6" i="3" s="1"/>
  <c r="C6" i="7"/>
  <c r="C6" i="6"/>
  <c r="N8" i="3"/>
  <c r="O8" i="3" s="1"/>
  <c r="N10" i="3"/>
  <c r="O10" i="3" s="1"/>
  <c r="C10" i="6"/>
  <c r="C7" i="7"/>
  <c r="N12" i="3"/>
  <c r="O12" i="3" s="1"/>
  <c r="N14" i="3"/>
  <c r="O14" i="3" s="1"/>
  <c r="C8" i="7"/>
  <c r="C14" i="6"/>
  <c r="N16" i="3"/>
  <c r="O16" i="3" s="1"/>
  <c r="O17" i="3"/>
  <c r="N18" i="3"/>
  <c r="O18" i="3" s="1"/>
  <c r="C9" i="7"/>
  <c r="D6" i="6"/>
  <c r="E6" i="5"/>
  <c r="N20" i="3"/>
  <c r="O20" i="3" s="1"/>
  <c r="E8" i="5"/>
  <c r="D8" i="6"/>
  <c r="N22" i="3"/>
  <c r="O22" i="3" s="1"/>
  <c r="D10" i="6"/>
  <c r="C10" i="7"/>
  <c r="E10" i="5"/>
  <c r="N24" i="3"/>
  <c r="O24" i="3" s="1"/>
  <c r="E12" i="5"/>
  <c r="D12" i="6"/>
  <c r="N26" i="3"/>
  <c r="O26" i="3" s="1"/>
  <c r="D14" i="6"/>
  <c r="E14" i="5"/>
  <c r="C11" i="7"/>
  <c r="O27" i="3"/>
  <c r="N28" i="3"/>
  <c r="O28" i="3" s="1"/>
  <c r="E16" i="5"/>
  <c r="D16" i="6"/>
  <c r="O29" i="3"/>
  <c r="N30" i="3"/>
  <c r="O30" i="3" s="1"/>
  <c r="C12" i="7"/>
  <c r="E6" i="6"/>
  <c r="N32" i="3"/>
  <c r="O32" i="3" s="1"/>
  <c r="F8" i="6"/>
  <c r="I13" i="7"/>
  <c r="K13" i="7" s="1"/>
  <c r="J34" i="3"/>
  <c r="L29" i="4"/>
  <c r="N29" i="4" s="1"/>
  <c r="G10" i="7"/>
  <c r="C10" i="5"/>
  <c r="B12" i="6"/>
  <c r="B12" i="5"/>
  <c r="B14" i="6"/>
  <c r="B14" i="5"/>
  <c r="N34" i="3"/>
  <c r="O34" i="3" s="1"/>
  <c r="Q37" i="3"/>
  <c r="N38" i="3"/>
  <c r="O38" i="3" s="1"/>
  <c r="D14" i="7"/>
  <c r="E17" i="6"/>
  <c r="D7" i="7"/>
  <c r="C13" i="6"/>
  <c r="F8" i="7"/>
  <c r="E8" i="7"/>
  <c r="D6" i="5"/>
  <c r="I9" i="7"/>
  <c r="A7" i="5"/>
  <c r="A7" i="6"/>
  <c r="D7" i="6"/>
  <c r="E7" i="5"/>
  <c r="A9" i="6"/>
  <c r="A9" i="5"/>
  <c r="D9" i="7"/>
  <c r="D9" i="6"/>
  <c r="E9" i="5"/>
  <c r="I10" i="7"/>
  <c r="D10" i="5"/>
  <c r="A11" i="6"/>
  <c r="A11" i="5"/>
  <c r="D11" i="6"/>
  <c r="E11" i="5"/>
  <c r="A13" i="6"/>
  <c r="A13" i="5"/>
  <c r="D10" i="7"/>
  <c r="D13" i="6"/>
  <c r="I11" i="7"/>
  <c r="D14" i="5"/>
  <c r="A15" i="6"/>
  <c r="A15" i="5"/>
  <c r="D15" i="6"/>
  <c r="E15" i="5"/>
  <c r="A17" i="6"/>
  <c r="A17" i="5"/>
  <c r="D11" i="7"/>
  <c r="D17" i="6"/>
  <c r="E17" i="5"/>
  <c r="O36" i="3"/>
  <c r="P37" i="3"/>
  <c r="G6" i="6"/>
  <c r="G8" i="6"/>
  <c r="K8" i="4"/>
  <c r="G10" i="6"/>
  <c r="K10" i="4"/>
  <c r="G12" i="6"/>
  <c r="G14" i="6"/>
  <c r="G16" i="6"/>
  <c r="H6" i="6"/>
  <c r="G6" i="5"/>
  <c r="H8" i="6"/>
  <c r="G8" i="5"/>
  <c r="H10" i="6"/>
  <c r="G10" i="5"/>
  <c r="K22" i="4"/>
  <c r="G12" i="5"/>
  <c r="H12" i="6"/>
  <c r="H14" i="6"/>
  <c r="G14" i="5"/>
  <c r="I10" i="6"/>
  <c r="I14" i="6"/>
  <c r="K38" i="4"/>
  <c r="M38" i="4" s="1"/>
  <c r="G9" i="7"/>
  <c r="C6" i="5"/>
  <c r="B10" i="5"/>
  <c r="B10" i="6"/>
  <c r="G11" i="7"/>
  <c r="C14" i="5"/>
  <c r="Q33" i="3"/>
  <c r="E9" i="6"/>
  <c r="D12" i="7"/>
  <c r="D13" i="7"/>
  <c r="E13" i="6"/>
  <c r="Q41" i="3"/>
  <c r="L27" i="4"/>
  <c r="N27" i="4" s="1"/>
  <c r="H16" i="6"/>
  <c r="G16" i="5"/>
  <c r="I12" i="6"/>
  <c r="D6" i="7"/>
  <c r="C9" i="6"/>
  <c r="J6" i="3"/>
  <c r="J10" i="3"/>
  <c r="J14" i="3"/>
  <c r="J18" i="3"/>
  <c r="B7" i="5"/>
  <c r="B7" i="6"/>
  <c r="J20" i="3"/>
  <c r="H9" i="7"/>
  <c r="C9" i="5"/>
  <c r="J22" i="3"/>
  <c r="B11" i="5"/>
  <c r="B11" i="6"/>
  <c r="J24" i="3"/>
  <c r="B13" i="6"/>
  <c r="B13" i="5"/>
  <c r="H10" i="7"/>
  <c r="C13" i="5"/>
  <c r="J26" i="3"/>
  <c r="B15" i="5"/>
  <c r="B15" i="6"/>
  <c r="J28" i="3"/>
  <c r="B17" i="6"/>
  <c r="B17" i="5"/>
  <c r="H11" i="7"/>
  <c r="C17" i="5"/>
  <c r="J30" i="3"/>
  <c r="G7" i="5"/>
  <c r="H7" i="6"/>
  <c r="H9" i="6"/>
  <c r="G9" i="5"/>
  <c r="G11" i="5"/>
  <c r="H11" i="6"/>
  <c r="G31" i="4"/>
  <c r="L31" i="4" s="1"/>
  <c r="N31" i="4" s="1"/>
  <c r="I8" i="6"/>
  <c r="G37" i="4"/>
  <c r="L37" i="4" s="1"/>
  <c r="N37" i="4" s="1"/>
  <c r="J38" i="4"/>
  <c r="I16" i="6"/>
  <c r="K40" i="4"/>
  <c r="B8" i="5"/>
  <c r="B16" i="5"/>
  <c r="K12" i="7"/>
  <c r="C13" i="7"/>
  <c r="E10" i="6"/>
  <c r="F10" i="6" s="1"/>
  <c r="F12" i="6"/>
  <c r="E14" i="6"/>
  <c r="C14" i="7"/>
  <c r="F16" i="6"/>
  <c r="H13" i="6"/>
  <c r="K25" i="4"/>
  <c r="G13" i="5"/>
  <c r="H15" i="6"/>
  <c r="K27" i="4"/>
  <c r="H17" i="6"/>
  <c r="G17" i="5"/>
  <c r="I7" i="6"/>
  <c r="I9" i="6"/>
  <c r="K33" i="4"/>
  <c r="M33" i="4" s="1"/>
  <c r="I11" i="6"/>
  <c r="I13" i="6"/>
  <c r="K37" i="4"/>
  <c r="M37" i="4" s="1"/>
  <c r="I38" i="4"/>
  <c r="I15" i="6"/>
  <c r="K39" i="4"/>
  <c r="M39" i="4" s="1"/>
  <c r="I40" i="4"/>
  <c r="I17" i="6"/>
  <c r="K41" i="4"/>
  <c r="M41" i="4" s="1"/>
  <c r="I25" i="4"/>
  <c r="G26" i="4"/>
  <c r="I27" i="4"/>
  <c r="G28" i="4"/>
  <c r="K28" i="4" s="1"/>
  <c r="G30" i="4"/>
  <c r="L30" i="4" s="1"/>
  <c r="N30" i="4" s="1"/>
  <c r="G32" i="4"/>
  <c r="L32" i="4" s="1"/>
  <c r="N32" i="4" s="1"/>
  <c r="I33" i="4"/>
  <c r="G34" i="4"/>
  <c r="L34" i="4" s="1"/>
  <c r="N34" i="4" s="1"/>
  <c r="I35" i="4"/>
  <c r="G36" i="4"/>
  <c r="L36" i="4" s="1"/>
  <c r="N36" i="4" s="1"/>
  <c r="I41" i="4"/>
  <c r="J41" i="4"/>
  <c r="K35" i="4" l="1"/>
  <c r="M35" i="4" s="1"/>
  <c r="K29" i="4"/>
  <c r="K17" i="6" s="1"/>
  <c r="M13" i="6"/>
  <c r="L19" i="4"/>
  <c r="N19" i="4" s="1"/>
  <c r="K11" i="4"/>
  <c r="M17" i="6"/>
  <c r="I29" i="4"/>
  <c r="M40" i="4"/>
  <c r="L7" i="4"/>
  <c r="N7" i="4" s="1"/>
  <c r="F13" i="6"/>
  <c r="L25" i="4"/>
  <c r="N25" i="4" s="1"/>
  <c r="K14" i="4"/>
  <c r="J14" i="6" s="1"/>
  <c r="F6" i="6"/>
  <c r="K20" i="4"/>
  <c r="L21" i="4"/>
  <c r="N21" i="4" s="1"/>
  <c r="K9" i="4"/>
  <c r="K9" i="6" s="1"/>
  <c r="F14" i="6"/>
  <c r="K16" i="4"/>
  <c r="K16" i="6" s="1"/>
  <c r="K12" i="4"/>
  <c r="M12" i="4" s="1"/>
  <c r="F7" i="5"/>
  <c r="L15" i="4"/>
  <c r="N15" i="4" s="1"/>
  <c r="L11" i="4"/>
  <c r="N11" i="4" s="1"/>
  <c r="I14" i="4"/>
  <c r="I32" i="4"/>
  <c r="K18" i="4"/>
  <c r="K21" i="4"/>
  <c r="L17" i="6"/>
  <c r="I31" i="4"/>
  <c r="I30" i="4"/>
  <c r="I28" i="4"/>
  <c r="K6" i="4"/>
  <c r="M6" i="4" s="1"/>
  <c r="F9" i="5"/>
  <c r="L13" i="4"/>
  <c r="N13" i="4" s="1"/>
  <c r="I13" i="4"/>
  <c r="I8" i="4"/>
  <c r="F17" i="6"/>
  <c r="I12" i="4"/>
  <c r="H16" i="5"/>
  <c r="F12" i="7"/>
  <c r="E12" i="7"/>
  <c r="M16" i="4"/>
  <c r="E10" i="7"/>
  <c r="F10" i="7"/>
  <c r="H11" i="5"/>
  <c r="M23" i="4"/>
  <c r="M9" i="6"/>
  <c r="L9" i="6"/>
  <c r="M8" i="6"/>
  <c r="L8" i="6"/>
  <c r="F8" i="5"/>
  <c r="L20" i="4"/>
  <c r="N20" i="4" s="1"/>
  <c r="F12" i="5"/>
  <c r="L24" i="4"/>
  <c r="N24" i="4" s="1"/>
  <c r="K24" i="4"/>
  <c r="F10" i="5"/>
  <c r="L22" i="4"/>
  <c r="N22" i="4" s="1"/>
  <c r="I16" i="4"/>
  <c r="I10" i="4"/>
  <c r="I6" i="4"/>
  <c r="M14" i="6"/>
  <c r="L14" i="6"/>
  <c r="M12" i="6"/>
  <c r="L12" i="6"/>
  <c r="F14" i="5"/>
  <c r="L26" i="4"/>
  <c r="N26" i="4" s="1"/>
  <c r="H15" i="5"/>
  <c r="M27" i="4"/>
  <c r="F9" i="6"/>
  <c r="K26" i="4"/>
  <c r="E14" i="7"/>
  <c r="F14" i="7"/>
  <c r="M16" i="6"/>
  <c r="L16" i="6"/>
  <c r="J17" i="6"/>
  <c r="M17" i="4"/>
  <c r="M9" i="4"/>
  <c r="M7" i="6"/>
  <c r="L7" i="6"/>
  <c r="I37" i="4"/>
  <c r="I34" i="4"/>
  <c r="E6" i="7"/>
  <c r="F6" i="7"/>
  <c r="H8" i="5"/>
  <c r="M20" i="4"/>
  <c r="M10" i="4"/>
  <c r="F11" i="7"/>
  <c r="E11" i="7"/>
  <c r="K30" i="4"/>
  <c r="M30" i="4" s="1"/>
  <c r="H7" i="5"/>
  <c r="K15" i="6"/>
  <c r="J15" i="6"/>
  <c r="M15" i="4"/>
  <c r="L6" i="6"/>
  <c r="M6" i="6"/>
  <c r="L13" i="6"/>
  <c r="L10" i="6"/>
  <c r="M10" i="6"/>
  <c r="M8" i="4"/>
  <c r="M29" i="4"/>
  <c r="H17" i="5"/>
  <c r="H13" i="5"/>
  <c r="H6" i="5"/>
  <c r="J13" i="6"/>
  <c r="K13" i="6"/>
  <c r="M13" i="4"/>
  <c r="F16" i="5"/>
  <c r="L28" i="4"/>
  <c r="N28" i="4" s="1"/>
  <c r="I36" i="4"/>
  <c r="K31" i="4"/>
  <c r="M31" i="4" s="1"/>
  <c r="I26" i="4"/>
  <c r="K32" i="4"/>
  <c r="M32" i="4" s="1"/>
  <c r="K36" i="4"/>
  <c r="M36" i="4" s="1"/>
  <c r="F13" i="7"/>
  <c r="E13" i="7"/>
  <c r="K34" i="4"/>
  <c r="M34" i="4" s="1"/>
  <c r="H10" i="5"/>
  <c r="M22" i="4"/>
  <c r="F9" i="7"/>
  <c r="E9" i="7"/>
  <c r="F7" i="7"/>
  <c r="E7" i="7"/>
  <c r="K11" i="7"/>
  <c r="M21" i="4"/>
  <c r="H9" i="5"/>
  <c r="K11" i="6"/>
  <c r="J11" i="6"/>
  <c r="M11" i="4"/>
  <c r="J7" i="6"/>
  <c r="M7" i="4"/>
  <c r="L11" i="6"/>
  <c r="M11" i="6"/>
  <c r="K10" i="7"/>
  <c r="F6" i="5"/>
  <c r="L18" i="4"/>
  <c r="N18" i="4" s="1"/>
  <c r="K9" i="7"/>
  <c r="K14" i="6" l="1"/>
  <c r="M14" i="4"/>
  <c r="M19" i="4"/>
  <c r="J9" i="6"/>
  <c r="M25" i="4"/>
  <c r="J16" i="6"/>
  <c r="K7" i="6"/>
  <c r="K6" i="6"/>
  <c r="K10" i="6"/>
  <c r="H12" i="5"/>
  <c r="M24" i="4"/>
  <c r="K8" i="6"/>
  <c r="J12" i="6"/>
  <c r="M18" i="4"/>
  <c r="J8" i="6"/>
  <c r="J6" i="6"/>
  <c r="H14" i="5"/>
  <c r="M26" i="4"/>
  <c r="K12" i="6"/>
  <c r="M28" i="4"/>
  <c r="J10" i="6"/>
</calcChain>
</file>

<file path=xl/sharedStrings.xml><?xml version="1.0" encoding="utf-8"?>
<sst xmlns="http://schemas.openxmlformats.org/spreadsheetml/2006/main" count="316" uniqueCount="229">
  <si>
    <t>ΣΥΓΚΡΙΣΗ ΜΕ ΒΙΒΛΙΟΓΡΑΦΙΑ | ΣΥΜΠΛΗΡΩΜΕΝΟΣ ΠΙΝΑΚΑΣ</t>
  </si>
  <si>
    <t>36 υπάρχοντα outputs · α=0,25 baseline · α=0,20/0,30 · χωρίς νέα προσομοίωση ή εξωτερική επικύρωση.</t>
  </si>
  <si>
    <t>Μελέτη</t>
  </si>
  <si>
    <t>Επαληθευμένο δημοσιευμένο εύρημα</t>
  </si>
  <si>
    <t>Δικά μας νέα αποτελέσματα</t>
  </si>
  <si>
    <t>Ερμηνεία και όριο συγκρισιμότητας</t>
  </si>
  <si>
    <t>Πρωτογενής πηγή</t>
  </si>
  <si>
    <t>Long et al. (2018)</t>
  </si>
  <si>
    <t>Περίπου 30% μείωση κοινοτικού ενεργειακού κόστους έναντι P2G και 12,4% μέση μείωση λογαριασμών καταναλωτών στο συγκεκριμένο παράδειγμα, με μηχανισμό αντιστάθμισης.</t>
  </si>
  <si>
    <t>Νέο baseline α=0,25: P2P έσοδα 425,80–805,29 €/έτος έναντι 1.049,45–1.586,40 € από αποτίμηση των ίδιων εξαγωγών στη spot. Η ανά περίπτωση υστέρηση εσόδων του πωλητή είναι 569,37–1.069,03 €. Παραμένει θετική και στις 36 περιπτώσεις: 559,75–1.069,03 €.</t>
  </si>
  <si>
    <t>Εναλλακτική αποτίμηση του ΙΔΙΟΥ dispatch, όχι νέα σύγκριση λειτουργίας P2P–P2G σε κοινότητα. Η μείωση πληρωμής για υποθετικό αγοραστή της ίδιας ποσότητας ισούται με την απώλεια εσόδου του πωλητή. Δεν είναι νέα κοινωνική ευημερία ούτε αποδεδειγμένο όφελος και των δύο.</t>
  </si>
  <si>
    <t>https://orca.cardiff.ac.uk/id/eprint/111870/7/1-s2.0-S0306261918308146-main.pdf</t>
  </si>
  <si>
    <t>Wang et al. (2025)</t>
  </si>
  <si>
    <t>Οι ετήσιες εισαγωγές τριών καταναλωτών αυξάνονται από 6.647 σε 7.510 kWh με προσθήκη μπαταρίας 5 kWh στο P2P. Προηγείται η φόρτιση, ενώ η αποθηκευμένη ενέργεια χρησιμοποιείται από τον prosumer.</t>
  </si>
  <si>
    <t>Για α=0,25 και αύξηση 10→30 kWh, εξαγωγές/proxy έγχυσης: A 12.641,75→12.630,99 kWh, B 14.031,31→14.005,91 kWh, C 12.475,73→13.148,40 kWh. Η κατεύθυνση της μεταβολής μεταξύ των δύο άκρων διατηρείται και στα άλλα α. Η B δεν είναι μονοτονική σε όλες τις ενδιάμεσες χωρητικότητες.</t>
  </si>
  <si>
    <t>Συγκρίνουμε τη σχέση λειτουργικού κανόνα–κατανομής ενέργειας, όχι ισοδύναμα νοικοκυριά. AF/AN = εξαγωγές/proxy διαθέσιμης έγχυσης, όχι παρατηρημένη ζήτηση αγοραστών. Οι B/C επιτρέπουν grid charging και battery exports.</t>
  </si>
  <si>
    <t>https://doi.org/10.1016/j.renene.2025.123494</t>
  </si>
  <si>
    <t>Quartierstrom – Ableitner et al. (2020)</t>
  </si>
  <si>
    <t>Στην περίοδο πεδίου: 58% της παραγωγής αξιοποιήθηκε στην κοινότητα και 33% της κατανάλωσης καλύφθηκε από τοπική παραγωγή. 35 νοικοκυριά και δύο εμπορικοί συμμετέχοντες.</t>
  </si>
  <si>
    <t>Ετήσια PV παραγωγή 15.486,00 kWh και φορτίο αναφοράς 4.244,32 kWh. Στο α=0,25: άμεση χρήση PV 1.872,05 kWh στις A/B και 2.205,61 στη C. Αντιστοιχεί στο 12,09%/14,24% της παραγωγής και στο 44,11%/51,97% του οικιακού φορτίου.</t>
  </si>
  <si>
    <t>Πρόκειται για ΑΜΕΣΗ χρήση PV από ένα νοικοκυριό, όχι συνολική κοινοτική αυτοκατανάλωση/αυτάρκεια. Δεν προσμετράμε ως ταυτόσημα μεγέθη τοπικές συναλλαγές ή ενέργεια μπαταρίας χωρίς ιχνηλάτηση προέλευσης.</t>
  </si>
  <si>
    <t>https://doi.org/10.1016/j.apenergy.2020.115061</t>
  </si>
  <si>
    <t>LAMP – Staudt &amp; Richter (2025)</t>
  </si>
  <si>
    <t>Η μέση προσφορά αγοράς για τοπική PV ενέργεια μειώνεται από 25,1 σε 20,1 λεπτά €/kWh έως τον Σεπτέμβριο 2020. Συμμετέχουν 11 νοικοκυριά χωρίς οικιακές μπαταρίες.</t>
  </si>
  <si>
    <t>Οι 36 περιπτώσεις μας μεταβάλλουν α και το ω που προκύπτει από τον ίδιο κανόνα βαθμονόμησης. Δεν εκτιμούν πραγματικές προσφορές. Διατηρούνται οι αρνητικές εκβάσεις και δεν επιβάλλονται περιορισμοί συμμετοχής του buyer.</t>
  </si>
  <si>
    <t>Οι προσφορές δεν είναι εκτιμήσεις ω ούτε utility-indifference prices. Εμπειρικό πλαίσιο για τα όρια των παραδοχών προτιμήσεων, όχι validation των α/ω, των στρατηγικών μπαταρίας ή της τιμής εκκαθάρισης.</t>
  </si>
  <si>
    <t>https://link.springer.com/article/10.1186/s13705-025-00511-5</t>
  </si>
  <si>
    <t>Ολοκληρωμένη σύγκριση δημοσιευμένων ευρημάτων — όχι νέα εκτέλεση μοντέλου ή εξωτερική επικύρωση.</t>
  </si>
  <si>
    <t>Χρήση: ο πίνακας στο τέλος των Results. Η ερμηνεία στο Discussion και τα όρια στη Limitations and Future Scope. Baseline_025: 12 βασικές διαμορφώσεις. Energy_36 / Cashflows_36: όλοι οι αριθμοί και οι τύποι. Alpha_Ranges / Capacity_Check: έλεγχος των συγκεκριμένων τάσεων. Original_Table: αυτούσιο το αρχικό περιεχόμενο.</t>
  </si>
  <si>
    <t>SOURCE TOTALS | 36 STORED OUTPUTS</t>
  </si>
  <si>
    <t>Imported cached values from Summary and Parameters. No solver calls. Files and SHA-256 hashes at right; source-cell mapping in Definitions.</t>
  </si>
  <si>
    <t>Case</t>
  </si>
  <si>
    <t>Alpha (€/kWh²)</t>
  </si>
  <si>
    <t>Strategy</t>
  </si>
  <si>
    <t>Capacity (kWh)</t>
  </si>
  <si>
    <t>PV (kWh)</t>
  </si>
  <si>
    <t>Base demand (kWh)</t>
  </si>
  <si>
    <t>Direct PV use (kWh)</t>
  </si>
  <si>
    <t>Charge (kWh)</t>
  </si>
  <si>
    <t>Discharge (kWh)</t>
  </si>
  <si>
    <t>Grid to load (kWh)</t>
  </si>
  <si>
    <t>Exports / injection proxy (kWh)</t>
  </si>
  <si>
    <t>All grid imports (kWh)</t>
  </si>
  <si>
    <t>AI utility (EUR)</t>
  </si>
  <si>
    <t>AO utility reported (EUR)</t>
  </si>
  <si>
    <t>BT utility net of grid cost (EUR)</t>
  </si>
  <si>
    <t>P2P receipts (EUR)</t>
  </si>
  <si>
    <t>Spot operating cost (EUR)</t>
  </si>
  <si>
    <t>Storage saving proxy (EUR)</t>
  </si>
  <si>
    <t>Battery losses (kWh)</t>
  </si>
  <si>
    <t>Final–initial SOC (kWh)</t>
  </si>
  <si>
    <t>Active P2P hours</t>
  </si>
  <si>
    <t>Wear coefficient (€/kWh)</t>
  </si>
  <si>
    <t>Mean omega (€/kWh)</t>
  </si>
  <si>
    <t>Monthly–annual max residual</t>
  </si>
  <si>
    <t>XLSX SHA-256</t>
  </si>
  <si>
    <t>ZIP archive</t>
  </si>
  <si>
    <t>Member path</t>
  </si>
  <si>
    <t>Buyer utility reported (EUR)</t>
  </si>
  <si>
    <t>SW_P2P reported (EUR)</t>
  </si>
  <si>
    <t>a0.20_A_10kWh</t>
  </si>
  <si>
    <t>A</t>
  </si>
  <si>
    <t>fdb68aaa8af8379bff3171c3a718b326eb48520077b076cf202c0358d2931aaf</t>
  </si>
  <si>
    <t>Alpha_0.20_12_Excel_Outputs.zip</t>
  </si>
  <si>
    <t>Alpha_0.20/Alpha_0.20_Strategy_A_Battery_10kWh.xlsx</t>
  </si>
  <si>
    <t>a0.20_A_15kWh</t>
  </si>
  <si>
    <t>d2e2f1a386a2ad62e01772be76ea1d4cf0be8e182927609f2654a5d6b6020fd4</t>
  </si>
  <si>
    <t>Alpha_0.20/Alpha_0.20_Strategy_A_Battery_15kWh.xlsx</t>
  </si>
  <si>
    <t>a0.20_A_20kWh</t>
  </si>
  <si>
    <t>b7d4dd0dd8c9409f4846a4717bfaf114b041ea2456c7d44d9d468d58636bb7e6</t>
  </si>
  <si>
    <t>Alpha_0.20/Alpha_0.20_Strategy_A_Battery_20kWh.xlsx</t>
  </si>
  <si>
    <t>a0.20_A_30kWh</t>
  </si>
  <si>
    <t>e1ca5c79db317dd60ce1963853cc29d38512178ccec50f80156ef4076adb786b</t>
  </si>
  <si>
    <t>Alpha_0.20/Alpha_0.20_Strategy_A_Battery_30kWh.xlsx</t>
  </si>
  <si>
    <t>a0.20_B_10kWh</t>
  </si>
  <si>
    <t>B</t>
  </si>
  <si>
    <t>aa161bcf0e641f499e8f37f0efafc1a1a18d74863f2226880707f82c76e48b81</t>
  </si>
  <si>
    <t>Alpha_0.20/Alpha_0.20_Strategy_B_Battery_10kWh.xlsx</t>
  </si>
  <si>
    <t>a0.20_B_15kWh</t>
  </si>
  <si>
    <t>8f9afbf9b7e0f474fc4fc60b68257e2f074c0ccd9bade85ec04c3bfc0a767c3e</t>
  </si>
  <si>
    <t>Alpha_0.20/Alpha_0.20_Strategy_B_Battery_15kWh.xlsx</t>
  </si>
  <si>
    <t>a0.20_B_20kWh</t>
  </si>
  <si>
    <t>3988f57cde4731842e1dc0cba35083aa416e4eb38452841cbed3097d1b40300e</t>
  </si>
  <si>
    <t>Alpha_0.20/Alpha_0.20_Strategy_B_Battery_20kWh.xlsx</t>
  </si>
  <si>
    <t>a0.20_B_30kWh</t>
  </si>
  <si>
    <t>687e9fa203f40f49da6eb50c271329da863ff46518a1426c268761f4bf7d87ba</t>
  </si>
  <si>
    <t>Alpha_0.20/Alpha_0.20_Strategy_B_Battery_30kWh.xlsx</t>
  </si>
  <si>
    <t>a0.20_C_10kWh</t>
  </si>
  <si>
    <t>C</t>
  </si>
  <si>
    <t>2fc400957dee09282d7847c65c6c6fb0cc7057ce5f1fd0c83e5779a574d6361a</t>
  </si>
  <si>
    <t>Alpha_0.20/Alpha_0.20_Strategy_C_Battery_10kWh.xlsx</t>
  </si>
  <si>
    <t>a0.20_C_15kWh</t>
  </si>
  <si>
    <t>4547223c5d301a629be5d242bac6595d11f246de239cf7fd040c9e37249d1d2f</t>
  </si>
  <si>
    <t>Alpha_0.20/Alpha_0.20_Strategy_C_Battery_15kWh.xlsx</t>
  </si>
  <si>
    <t>a0.20_C_20kWh</t>
  </si>
  <si>
    <t>9f58087ea8dd46abef15347264067613a67461106b1824eb8fb07111c2f0c15a</t>
  </si>
  <si>
    <t>Alpha_0.20/Alpha_0.20_Strategy_C_Battery_20kWh.xlsx</t>
  </si>
  <si>
    <t>a0.20_C_30kWh</t>
  </si>
  <si>
    <t>aaae8d8751498eae5d18b4bf889625ab4dafd763fbf3892623d42c3908f9f528</t>
  </si>
  <si>
    <t>Alpha_0.20/Alpha_0.20_Strategy_C_Battery_30kWh.xlsx</t>
  </si>
  <si>
    <t>a0.25_A_10kWh</t>
  </si>
  <si>
    <t>7c4f40b0c186b11fd5e08b0bd2760b8d850b2d3f4d2e05a6cda8c24bbf475184</t>
  </si>
  <si>
    <t>Alpha_0.25_12_Excel_Outputs.zip</t>
  </si>
  <si>
    <t>Alpha_0.25/Alpha_0.25_Strategy_A_Battery_10kWh.xlsx</t>
  </si>
  <si>
    <t>a0.25_A_15kWh</t>
  </si>
  <si>
    <t>daf0bf82f19cc372e0f8ad8abce587b35d51404e5cffb181630a0fa7c294e947</t>
  </si>
  <si>
    <t>Alpha_0.25/Alpha_0.25_Strategy_A_Battery_15kWh.xlsx</t>
  </si>
  <si>
    <t>a0.25_A_20kWh</t>
  </si>
  <si>
    <t>e2965ea48b41817d791bdeb02b8a971a1b16f0fc2948313df9cbce2fbbfaa577</t>
  </si>
  <si>
    <t>Alpha_0.25/Alpha_0.25_Strategy_A_Battery_20kWh.xlsx</t>
  </si>
  <si>
    <t>a0.25_A_30kWh</t>
  </si>
  <si>
    <t>67361b62db44c640f0b55f6c0251df9233be240c4c9674a307489b71888fbd73</t>
  </si>
  <si>
    <t>Alpha_0.25/Alpha_0.25_Strategy_A_Battery_30kWh.xlsx</t>
  </si>
  <si>
    <t>a0.25_B_10kWh</t>
  </si>
  <si>
    <t>9ad818e0f8ddff7133c16d064a5a6f88df9947df9e0156a65e8f86274048a068</t>
  </si>
  <si>
    <t>Alpha_0.25/Alpha_0.25_Strategy_B_Battery_10kWh.xlsx</t>
  </si>
  <si>
    <t>a0.25_B_15kWh</t>
  </si>
  <si>
    <t>84b4b1ee565c523dacc038553064618c2fdc6155a8f16e02c642365953c31c7b</t>
  </si>
  <si>
    <t>Alpha_0.25/Alpha_0.25_Strategy_B_Battery_15kWh.xlsx</t>
  </si>
  <si>
    <t>a0.25_B_20kWh</t>
  </si>
  <si>
    <t>93a88d3a8bbc34c465457f9d29f639f8a792cf12951660754666150a68aac509</t>
  </si>
  <si>
    <t>Alpha_0.25/Alpha_0.25_Strategy_B_Battery_20kWh.xlsx</t>
  </si>
  <si>
    <t>a0.25_B_30kWh</t>
  </si>
  <si>
    <t>ec211b6a4d7a85873ddaf5b59925f6df8fd476cbd435bb7d685acd7abd797b8f</t>
  </si>
  <si>
    <t>Alpha_0.25/Alpha_0.25_Strategy_B_Battery_30kWh.xlsx</t>
  </si>
  <si>
    <t>a0.25_C_10kWh</t>
  </si>
  <si>
    <t>ee880a81a56316a93d58542ed041a10effd24a4b6fb21b045b6404076a9beed0</t>
  </si>
  <si>
    <t>Alpha_0.25/Alpha_0.25_Strategy_C_Battery_10kWh.xlsx</t>
  </si>
  <si>
    <t>a0.25_C_15kWh</t>
  </si>
  <si>
    <t>55709e4d2d6b7cb6dc8bedb8c8cba63d8b4a59b8c088f350177362deb4d2be03</t>
  </si>
  <si>
    <t>Alpha_0.25/Alpha_0.25_Strategy_C_Battery_15kWh.xlsx</t>
  </si>
  <si>
    <t>a0.25_C_20kWh</t>
  </si>
  <si>
    <t>686ce293e5c255d2dc6006e7a83e109ff477a426ff0ca3952a184518fa9cb103</t>
  </si>
  <si>
    <t>Alpha_0.25/Alpha_0.25_Strategy_C_Battery_20kWh.xlsx</t>
  </si>
  <si>
    <t>a0.25_C_30kWh</t>
  </si>
  <si>
    <t>4dbf6be55971666c04a5257e9ef57157331ee43f674be8faea79827e2606e0a5</t>
  </si>
  <si>
    <t>Alpha_0.25/Alpha_0.25_Strategy_C_Battery_30kWh.xlsx</t>
  </si>
  <si>
    <t>a0.30_A_10kWh</t>
  </si>
  <si>
    <t>54d5f69612e59e20de8a788cdb972d69789665f660398a60853f0d7d07c47e75</t>
  </si>
  <si>
    <t>Alpha_0.30_12_Excel_Outputs.zip</t>
  </si>
  <si>
    <t>Alpha_0.30/Alpha_0.30_Strategy_A_Battery_10kWh.xlsx</t>
  </si>
  <si>
    <t>a0.30_A_15kWh</t>
  </si>
  <si>
    <t>9df2a5174d759197686001336415e6894ecdba81c47f9dfe8f1c2783bc913128</t>
  </si>
  <si>
    <t>Alpha_0.30/Alpha_0.30_Strategy_A_Battery_15kWh.xlsx</t>
  </si>
  <si>
    <t>a0.30_A_20kWh</t>
  </si>
  <si>
    <t>e19b4d8f49619124831614dbeb96332692324498a9724cd42ed7ca9d836fa1de</t>
  </si>
  <si>
    <t>Alpha_0.30/Alpha_0.30_Strategy_A_Battery_20kWh.xlsx</t>
  </si>
  <si>
    <t>a0.30_A_30kWh</t>
  </si>
  <si>
    <t>8271998ed69add2ce1081800027a7a5224036b918c1c8a5ba9b04f1251d972e1</t>
  </si>
  <si>
    <t>Alpha_0.30/Alpha_0.30_Strategy_A_Battery_30kWh.xlsx</t>
  </si>
  <si>
    <t>a0.30_B_10kWh</t>
  </si>
  <si>
    <t>934c69cb1c51354e055941c2f68a599555a46a259cb6060c8fa11b43f727202b</t>
  </si>
  <si>
    <t>Alpha_0.30/Alpha_0.30_Strategy_B_Battery_10kWh.xlsx</t>
  </si>
  <si>
    <t>a0.30_B_15kWh</t>
  </si>
  <si>
    <t>acab1b0997be02759c85514e4ac1dd5ad4bc2161d895bdb955b6ed80399b9d60</t>
  </si>
  <si>
    <t>Alpha_0.30/Alpha_0.30_Strategy_B_Battery_15kWh.xlsx</t>
  </si>
  <si>
    <t>a0.30_B_20kWh</t>
  </si>
  <si>
    <t>737803c14b69d836896ca2fe98063ce8bc22040f8463259ac304735a0e1bc7bb</t>
  </si>
  <si>
    <t>Alpha_0.30/Alpha_0.30_Strategy_B_Battery_20kWh.xlsx</t>
  </si>
  <si>
    <t>a0.30_B_30kWh</t>
  </si>
  <si>
    <t>a16357b7e8949e7b9a7412acd027d4e1a20428cce04a84c0350ad5e3f740fac6</t>
  </si>
  <si>
    <t>Alpha_0.30/Alpha_0.30_Strategy_B_Battery_30kWh.xlsx</t>
  </si>
  <si>
    <t>a0.30_C_10kWh</t>
  </si>
  <si>
    <t>8d219ac75c45d2deace684bb829426f06ef2e0ab75aeafe35b9be5c371aaaa2d</t>
  </si>
  <si>
    <t>Alpha_0.30/Alpha_0.30_Strategy_C_Battery_10kWh.xlsx</t>
  </si>
  <si>
    <t>a0.30_C_15kWh</t>
  </si>
  <si>
    <t>744d3dd3e8ebaad0c6372201606d8d2156368df5403bec91e9142b28dff7948a</t>
  </si>
  <si>
    <t>Alpha_0.30/Alpha_0.30_Strategy_C_Battery_15kWh.xlsx</t>
  </si>
  <si>
    <t>a0.30_C_20kWh</t>
  </si>
  <si>
    <t>8c3d3bb5f7de2cfebef2c4f1eb718f038aec47201e9302ac263662c38381aacb</t>
  </si>
  <si>
    <t>Alpha_0.30/Alpha_0.30_Strategy_C_Battery_20kWh.xlsx</t>
  </si>
  <si>
    <t>a0.30_C_30kWh</t>
  </si>
  <si>
    <t>40595a4510460a67b174ebb7229a4d65c6ca22dc7f346e042d06a09fd966da9d</t>
  </si>
  <si>
    <t>Alpha_0.30/Alpha_0.30_Strategy_C_Battery_30kWh.xlsx</t>
  </si>
  <si>
    <t>ENERGY | KEEP PARTICIPANT BOUNDARIES EXPLICIT</t>
  </si>
  <si>
    <t>X is grid-to-load for the modelled prosumer. AG includes grid charging. AF = AN is an export/injection proxy, not matched buyer demand.</t>
  </si>
  <si>
    <t>α (€/kWh²)</t>
  </si>
  <si>
    <t>Battery (kWh)</t>
  </si>
  <si>
    <t>Demand (kWh)</t>
  </si>
  <si>
    <t>Grid→load (kWh)</t>
  </si>
  <si>
    <t>Grid→battery (kWh)</t>
  </si>
  <si>
    <t>Battery→load (kWh)</t>
  </si>
  <si>
    <t>Battery→export (kWh)</t>
  </si>
  <si>
    <t>Direct PV / generation (%)</t>
  </si>
  <si>
    <t>Direct PV / load (%)</t>
  </si>
  <si>
    <t>CASH FLOWS | SAME-DISPATCH REVALUATION</t>
  </si>
  <si>
    <t>Import expenditure + throughput wear − alternative export receipts. Negative net cost = net inflow, not lifetime profit. No CAPEX, tax or network-fee comparison.</t>
  </si>
  <si>
    <t>Import expenditure (€)</t>
  </si>
  <si>
    <t>Wear cost (€)</t>
  </si>
  <si>
    <t>Spot export receipts (€)</t>
  </si>
  <si>
    <t>P2P export receipts (€)</t>
  </si>
  <si>
    <t>Spot net operating cost (€)</t>
  </si>
  <si>
    <t>P2P same-dispatch net cost (€)</t>
  </si>
  <si>
    <t>Seller receipts: P2P − spot (€)</t>
  </si>
  <si>
    <t>Same-quantity buyer payment reduction (€)</t>
  </si>
  <si>
    <t>Transfer sum (€)</t>
  </si>
  <si>
    <t>Utility identity residual (€)</t>
  </si>
  <si>
    <t>BASELINE | α = 0.25</t>
  </si>
  <si>
    <t>Twelve configurations from the new calibration. Values link to the 36-case sheets; not to pre-review outputs.</t>
  </si>
  <si>
    <t>All imports (kWh)</t>
  </si>
  <si>
    <t>Exports / injection (kWh)</t>
  </si>
  <si>
    <t>Spot receipts (€)</t>
  </si>
  <si>
    <t>P2P receipts (€)</t>
  </si>
  <si>
    <t>Seller receipts change (€)</t>
  </si>
  <si>
    <t>P2P net cost (€)</t>
  </si>
  <si>
    <t>SENSITIVITY | MATCHED STRATEGY AND CAPACITY</t>
  </si>
  <si>
    <t>Only α varies independently; omega is recalibrated from the same daily mean price and base load. Min/max are deterministic scenario ranges, not confidence intervals.</t>
  </si>
  <si>
    <t>Exports α=.20 (kWh)</t>
  </si>
  <si>
    <t>Exports α=.25 (kWh)</t>
  </si>
  <si>
    <t>Exports α=.30 (kWh)</t>
  </si>
  <si>
    <t>Exports change .20→.30 (%)</t>
  </si>
  <si>
    <t>P2P receipts α=.20 (€)</t>
  </si>
  <si>
    <t>P2P receipts α=.25 (€)</t>
  </si>
  <si>
    <t>P2P receipts α=.30 (€)</t>
  </si>
  <si>
    <t>Min seller receipt change (€)</t>
  </si>
  <si>
    <t>Max seller receipt change (€)</t>
  </si>
  <si>
    <t>Min direct PV share (%)</t>
  </si>
  <si>
    <t>Max direct PV share (%)</t>
  </si>
  <si>
    <t>CAPACITY | ENDPOINT COMPARISON 10 → 30 kWh</t>
  </si>
  <si>
    <t>Endpoint comparison only; it does not imply monotonicity at 15 and 20 kWh. Grid-to-load and total imports are different measures. Energy units: kWh.</t>
  </si>
  <si>
    <t>Exports 10 kWh</t>
  </si>
  <si>
    <t>Exports 30 kWh</t>
  </si>
  <si>
    <t>Exports change (kWh)</t>
  </si>
  <si>
    <t>Exports change (%)</t>
  </si>
  <si>
    <t>Grid→load 10 kWh</t>
  </si>
  <si>
    <t>Grid→load 30 kWh</t>
  </si>
  <si>
    <t>All imports 10 kWh</t>
  </si>
  <si>
    <t>All imports 30 kWh</t>
  </si>
  <si>
    <t>All imports change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</si>
</sst>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(#,##0.000\);\–"/>
    <numFmt numFmtId="165" formatCode="#,##0.00;[Red]\(#,##0.00\);\–"/>
    <numFmt numFmtId="166" formatCode="0.000%"/>
  </numFmts>
  <fonts count="9">
    <font>
      <sz val="11"/>
      <name val="Carlito"/>
    </font>
    <font>
      <b/>
      <sz val="16"/>
      <color rgb="FFFFFFFF"/>
      <name val="Carlito"/>
    </font>
    <font>
      <sz val="11"/>
      <color rgb="FF52677A"/>
      <name val="Carlito"/>
    </font>
    <font>
      <b/>
      <sz val="15"/>
      <color rgb="FFFFFFFF"/>
      <name val="Carlito"/>
    </font>
    <font>
      <sz val="10"/>
      <color rgb="FF536779"/>
      <name val="Carlito"/>
    </font>
    <font>
      <sz val="10"/>
      <color rgb="FF243746"/>
      <name val="Aptos"/>
    </font>
    <font>
      <b/>
      <sz val="10"/>
      <color rgb="FFFFFFFF"/>
      <name val="Aptos"/>
    </font>
    <font>
      <sz val="10"/>
      <color rgb="FF087F8C"/>
      <name val="Aptos"/>
    </font>
    <font>
      <b/>
      <sz val="11"/>
      <color rgb="FF24374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87F8C"/>
      </patternFill>
    </fill>
    <fill>
      <patternFill patternType="solid">
        <fgColor rgb="FFEE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/>
    <xf numFmtId="0" fontId="2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/>
    <xf numFmtId="164" fontId="5" fillId="0" borderId="0" xfId="0" applyNumberFormat="1" applyFont="1" applyFill="1" applyBorder="1"/>
    <xf numFmtId="164" fontId="5" fillId="4" borderId="0" xfId="0" applyNumberFormat="1" applyFont="1" applyFill="1" applyBorder="1"/>
    <xf numFmtId="2" fontId="5" fillId="0" borderId="0" xfId="0" applyNumberFormat="1" applyFont="1" applyFill="1" applyBorder="1"/>
    <xf numFmtId="2" fontId="5" fillId="4" borderId="0" xfId="0" applyNumberFormat="1" applyFont="1" applyFill="1" applyBorder="1"/>
    <xf numFmtId="49" fontId="5" fillId="0" borderId="0" xfId="0" applyNumberFormat="1" applyFont="1" applyFill="1" applyBorder="1"/>
    <xf numFmtId="49" fontId="5" fillId="4" borderId="0" xfId="0" applyNumberFormat="1" applyFont="1" applyFill="1" applyBorder="1"/>
    <xf numFmtId="49" fontId="5" fillId="0" borderId="0" xfId="0" applyNumberFormat="1" applyFont="1" applyFill="1" applyBorder="1" applyAlignment="1">
      <alignment wrapText="1"/>
    </xf>
    <xf numFmtId="49" fontId="5" fillId="4" borderId="0" xfId="0" applyNumberFormat="1" applyFont="1" applyFill="1" applyBorder="1" applyAlignment="1">
      <alignment wrapText="1"/>
    </xf>
    <xf numFmtId="165" fontId="5" fillId="0" borderId="0" xfId="0" applyNumberFormat="1" applyFont="1" applyFill="1" applyBorder="1"/>
    <xf numFmtId="165" fontId="5" fillId="4" borderId="0" xfId="0" applyNumberFormat="1" applyFont="1" applyFill="1" applyBorder="1"/>
    <xf numFmtId="10" fontId="5" fillId="0" borderId="0" xfId="0" applyNumberFormat="1" applyFont="1" applyFill="1" applyBorder="1"/>
    <xf numFmtId="10" fontId="5" fillId="4" borderId="0" xfId="0" applyNumberFormat="1" applyFont="1" applyFill="1" applyBorder="1"/>
    <xf numFmtId="11" fontId="5" fillId="0" borderId="0" xfId="0" applyNumberFormat="1" applyFont="1" applyFill="1" applyBorder="1"/>
    <xf numFmtId="11" fontId="5" fillId="4" borderId="0" xfId="0" applyNumberFormat="1" applyFont="1" applyFill="1" applyBorder="1"/>
    <xf numFmtId="166" fontId="5" fillId="0" borderId="0" xfId="0" applyNumberFormat="1" applyFont="1" applyFill="1" applyBorder="1"/>
    <xf numFmtId="166" fontId="5" fillId="4" borderId="0" xfId="0" applyNumberFormat="1" applyFont="1" applyFill="1" applyBorder="1"/>
    <xf numFmtId="0" fontId="5" fillId="0" borderId="0" xfId="0" applyNumberFormat="1" applyFont="1" applyFill="1" applyBorder="1" applyAlignment="1">
      <alignment vertical="top" wrapText="1"/>
    </xf>
    <xf numFmtId="0" fontId="5" fillId="4" borderId="0" xfId="0" applyNumberFormat="1" applyFont="1" applyFill="1" applyBorder="1" applyAlignment="1">
      <alignment vertical="top" wrapText="1"/>
    </xf>
    <xf numFmtId="0" fontId="7" fillId="0" borderId="0" xfId="0" applyNumberFormat="1" applyFont="1" applyFill="1" applyBorder="1" applyAlignment="1">
      <alignment vertical="top" wrapText="1"/>
    </xf>
    <xf numFmtId="0" fontId="7" fillId="4" borderId="0" xfId="0" applyNumberFormat="1" applyFont="1" applyFill="1" applyBorder="1" applyAlignment="1">
      <alignment vertical="top" wrapText="1"/>
    </xf>
    <xf numFmtId="0" fontId="8" fillId="4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/>
    <xf numFmtId="0" fontId="4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ComparisonGR" displayName="ComparisonGR" ref="A5:E9" totalsRowShown="0">
  <tableColumns count="5">
    <tableColumn id="1" xr3:uid="{00000000-0010-0000-0000-000001000000}" name="Μελέτη"/>
    <tableColumn id="2" xr3:uid="{00000000-0010-0000-0000-000002000000}" name="Επαληθευμένο δημοσιευμένο εύρημα"/>
    <tableColumn id="3" xr3:uid="{00000000-0010-0000-0000-000003000000}" name="Δικά μας νέα αποτελέσματα"/>
    <tableColumn id="4" xr3:uid="{00000000-0010-0000-0000-000004000000}" name="Ερμηνεία και όριο συγκρισιμότητας"/>
    <tableColumn id="5" xr3:uid="{00000000-0010-0000-0000-000005000000}" name="Πρωτογενής πηγ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ourceTotals" displayName="SourceTotals" ref="A5:AC41" totalsRowShown="0">
  <tableColumns count="29">
    <tableColumn id="1" xr3:uid="{00000000-0010-0000-0100-000001000000}" name="Case"/>
    <tableColumn id="2" xr3:uid="{00000000-0010-0000-0100-000002000000}" name="Alpha (€/kWh²)"/>
    <tableColumn id="3" xr3:uid="{00000000-0010-0000-0100-000003000000}" name="Strategy"/>
    <tableColumn id="4" xr3:uid="{00000000-0010-0000-0100-000004000000}" name="Capacity (kWh)"/>
    <tableColumn id="5" xr3:uid="{00000000-0010-0000-0100-000005000000}" name="PV (kWh)"/>
    <tableColumn id="6" xr3:uid="{00000000-0010-0000-0100-000006000000}" name="Base demand (kWh)"/>
    <tableColumn id="7" xr3:uid="{00000000-0010-0000-0100-000007000000}" name="Direct PV use (kWh)"/>
    <tableColumn id="8" xr3:uid="{00000000-0010-0000-0100-000008000000}" name="Charge (kWh)"/>
    <tableColumn id="9" xr3:uid="{00000000-0010-0000-0100-000009000000}" name="Discharge (kWh)"/>
    <tableColumn id="10" xr3:uid="{00000000-0010-0000-0100-00000A000000}" name="Grid to load (kWh)"/>
    <tableColumn id="11" xr3:uid="{00000000-0010-0000-0100-00000B000000}" name="Exports / injection proxy (kWh)"/>
    <tableColumn id="12" xr3:uid="{00000000-0010-0000-0100-00000C000000}" name="All grid imports (kWh)"/>
    <tableColumn id="13" xr3:uid="{00000000-0010-0000-0100-00000D000000}" name="AI utility (EUR)"/>
    <tableColumn id="14" xr3:uid="{00000000-0010-0000-0100-00000E000000}" name="AO utility reported (EUR)"/>
    <tableColumn id="15" xr3:uid="{00000000-0010-0000-0100-00000F000000}" name="BT utility net of grid cost (EUR)"/>
    <tableColumn id="16" xr3:uid="{00000000-0010-0000-0100-000010000000}" name="P2P receipts (EUR)"/>
    <tableColumn id="17" xr3:uid="{00000000-0010-0000-0100-000011000000}" name="Spot operating cost (EUR)"/>
    <tableColumn id="18" xr3:uid="{00000000-0010-0000-0100-000012000000}" name="Storage saving proxy (EUR)"/>
    <tableColumn id="19" xr3:uid="{00000000-0010-0000-0100-000013000000}" name="Battery losses (kWh)"/>
    <tableColumn id="20" xr3:uid="{00000000-0010-0000-0100-000014000000}" name="Final–initial SOC (kWh)"/>
    <tableColumn id="21" xr3:uid="{00000000-0010-0000-0100-000015000000}" name="Active P2P hours"/>
    <tableColumn id="22" xr3:uid="{00000000-0010-0000-0100-000016000000}" name="Wear coefficient (€/kWh)"/>
    <tableColumn id="23" xr3:uid="{00000000-0010-0000-0100-000017000000}" name="Mean omega (€/kWh)"/>
    <tableColumn id="24" xr3:uid="{00000000-0010-0000-0100-000018000000}" name="Monthly–annual max residual"/>
    <tableColumn id="25" xr3:uid="{00000000-0010-0000-0100-000019000000}" name="XLSX SHA-256"/>
    <tableColumn id="26" xr3:uid="{00000000-0010-0000-0100-00001A000000}" name="ZIP archive"/>
    <tableColumn id="27" xr3:uid="{00000000-0010-0000-0100-00001B000000}" name="Member path"/>
    <tableColumn id="28" xr3:uid="{00000000-0010-0000-0100-00001C000000}" name="Buyer utility reported (EUR)"/>
    <tableColumn id="29" xr3:uid="{00000000-0010-0000-0100-00001D000000}" name="SW_P2P reported (EUR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Energy36" displayName="Energy36" ref="A5:R41" totalsRowShown="0">
  <tableColumns count="18">
    <tableColumn id="1" xr3:uid="{00000000-0010-0000-0200-000001000000}" name="Case"/>
    <tableColumn id="2" xr3:uid="{00000000-0010-0000-0200-000002000000}" name="α (€/kWh²)"/>
    <tableColumn id="3" xr3:uid="{00000000-0010-0000-0200-000003000000}" name="Strategy"/>
    <tableColumn id="4" xr3:uid="{00000000-0010-0000-0200-000004000000}" name="Battery (kWh)"/>
    <tableColumn id="5" xr3:uid="{00000000-0010-0000-0200-000005000000}" name="PV (kWh)"/>
    <tableColumn id="6" xr3:uid="{00000000-0010-0000-0200-000006000000}" name="Demand (kWh)"/>
    <tableColumn id="7" xr3:uid="{00000000-0010-0000-0200-000007000000}" name="Direct PV use (kWh)"/>
    <tableColumn id="8" xr3:uid="{00000000-0010-0000-0200-000008000000}" name="Grid→load (kWh)"/>
    <tableColumn id="9" xr3:uid="{00000000-0010-0000-0200-000009000000}" name="All grid imports (kWh)"/>
    <tableColumn id="10" xr3:uid="{00000000-0010-0000-0200-00000A000000}" name="Grid→battery (kWh)"/>
    <tableColumn id="11" xr3:uid="{00000000-0010-0000-0200-00000B000000}" name="Exports / injection proxy (kWh)"/>
    <tableColumn id="12" xr3:uid="{00000000-0010-0000-0200-00000C000000}" name="Charge (kWh)"/>
    <tableColumn id="13" xr3:uid="{00000000-0010-0000-0200-00000D000000}" name="Discharge (kWh)"/>
    <tableColumn id="14" xr3:uid="{00000000-0010-0000-0200-00000E000000}" name="Battery→load (kWh)"/>
    <tableColumn id="15" xr3:uid="{00000000-0010-0000-0200-00000F000000}" name="Battery→export (kWh)"/>
    <tableColumn id="16" xr3:uid="{00000000-0010-0000-0200-000010000000}" name="Direct PV / generation (%)"/>
    <tableColumn id="17" xr3:uid="{00000000-0010-0000-0200-000011000000}" name="Direct PV / load (%)"/>
    <tableColumn id="18" xr3:uid="{00000000-0010-0000-0200-000012000000}" name="Final–initial SOC (kWh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ash36" displayName="Cash36" ref="A5:N41" totalsRowShown="0">
  <tableColumns count="14">
    <tableColumn id="1" xr3:uid="{00000000-0010-0000-0300-000001000000}" name="Case"/>
    <tableColumn id="2" xr3:uid="{00000000-0010-0000-0300-000002000000}" name="α (€/kWh²)"/>
    <tableColumn id="3" xr3:uid="{00000000-0010-0000-0300-000003000000}" name="Strategy"/>
    <tableColumn id="4" xr3:uid="{00000000-0010-0000-0300-000004000000}" name="Battery (kWh)"/>
    <tableColumn id="5" xr3:uid="{00000000-0010-0000-0300-000005000000}" name="Import expenditure (€)"/>
    <tableColumn id="6" xr3:uid="{00000000-0010-0000-0300-000006000000}" name="Wear cost (€)"/>
    <tableColumn id="7" xr3:uid="{00000000-0010-0000-0300-000007000000}" name="Spot export receipts (€)"/>
    <tableColumn id="8" xr3:uid="{00000000-0010-0000-0300-000008000000}" name="P2P export receipts (€)"/>
    <tableColumn id="9" xr3:uid="{00000000-0010-0000-0300-000009000000}" name="Spot net operating cost (€)"/>
    <tableColumn id="10" xr3:uid="{00000000-0010-0000-0300-00000A000000}" name="P2P same-dispatch net cost (€)"/>
    <tableColumn id="11" xr3:uid="{00000000-0010-0000-0300-00000B000000}" name="Seller receipts: P2P − spot (€)"/>
    <tableColumn id="12" xr3:uid="{00000000-0010-0000-0300-00000C000000}" name="Same-quantity buyer payment reduction (€)"/>
    <tableColumn id="13" xr3:uid="{00000000-0010-0000-0300-00000D000000}" name="Transfer sum (€)"/>
    <tableColumn id="14" xr3:uid="{00000000-0010-0000-0300-00000E000000}" name="Utility identity residual (€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Baseline025" displayName="Baseline025" ref="A5:J17" totalsRowShown="0">
  <tableColumns count="10">
    <tableColumn id="1" xr3:uid="{00000000-0010-0000-0400-000001000000}" name="Strategy"/>
    <tableColumn id="2" xr3:uid="{00000000-0010-0000-0400-000002000000}" name="Battery (kWh)"/>
    <tableColumn id="3" xr3:uid="{00000000-0010-0000-0400-000003000000}" name="Grid→load (kWh)"/>
    <tableColumn id="4" xr3:uid="{00000000-0010-0000-0400-000004000000}" name="All imports (kWh)"/>
    <tableColumn id="5" xr3:uid="{00000000-0010-0000-0400-000005000000}" name="Exports / injection (kWh)"/>
    <tableColumn id="6" xr3:uid="{00000000-0010-0000-0400-000006000000}" name="Spot receipts (€)"/>
    <tableColumn id="7" xr3:uid="{00000000-0010-0000-0400-000007000000}" name="P2P receipts (€)"/>
    <tableColumn id="8" xr3:uid="{00000000-0010-0000-0400-000008000000}" name="Seller receipts change (€)"/>
    <tableColumn id="9" xr3:uid="{00000000-0010-0000-0400-000009000000}" name="Direct PV / generation (%)"/>
    <tableColumn id="10" xr3:uid="{00000000-0010-0000-0400-00000A000000}" name="P2P net cost (€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AlphaRanges" displayName="AlphaRanges" ref="A5:M17" totalsRowShown="0">
  <tableColumns count="13">
    <tableColumn id="1" xr3:uid="{00000000-0010-0000-0500-000001000000}" name="Strategy"/>
    <tableColumn id="2" xr3:uid="{00000000-0010-0000-0500-000002000000}" name="Battery (kWh)"/>
    <tableColumn id="3" xr3:uid="{00000000-0010-0000-0500-000003000000}" name="Exports α=.20 (kWh)"/>
    <tableColumn id="4" xr3:uid="{00000000-0010-0000-0500-000004000000}" name="Exports α=.25 (kWh)"/>
    <tableColumn id="5" xr3:uid="{00000000-0010-0000-0500-000005000000}" name="Exports α=.30 (kWh)"/>
    <tableColumn id="6" xr3:uid="{00000000-0010-0000-0500-000006000000}" name="Exports change .20→.30 (%)"/>
    <tableColumn id="7" xr3:uid="{00000000-0010-0000-0500-000007000000}" name="P2P receipts α=.20 (€)"/>
    <tableColumn id="8" xr3:uid="{00000000-0010-0000-0500-000008000000}" name="P2P receipts α=.25 (€)"/>
    <tableColumn id="9" xr3:uid="{00000000-0010-0000-0500-000009000000}" name="P2P receipts α=.30 (€)"/>
    <tableColumn id="10" xr3:uid="{00000000-0010-0000-0500-00000A000000}" name="Min seller receipt change (€)"/>
    <tableColumn id="11" xr3:uid="{00000000-0010-0000-0500-00000B000000}" name="Max seller receipt change (€)"/>
    <tableColumn id="12" xr3:uid="{00000000-0010-0000-0500-00000C000000}" name="Min direct PV share (%)"/>
    <tableColumn id="13" xr3:uid="{00000000-0010-0000-0500-00000D000000}" name="Max direct PV share (%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CapacityCheck" displayName="CapacityCheck" ref="A5:K14" totalsRowShown="0">
  <tableColumns count="11">
    <tableColumn id="1" xr3:uid="{00000000-0010-0000-0600-000001000000}" name="Strategy"/>
    <tableColumn id="2" xr3:uid="{00000000-0010-0000-0600-000002000000}" name="α (€/kWh²)"/>
    <tableColumn id="3" xr3:uid="{00000000-0010-0000-0600-000003000000}" name="Exports 10 kWh"/>
    <tableColumn id="4" xr3:uid="{00000000-0010-0000-0600-000004000000}" name="Exports 30 kWh"/>
    <tableColumn id="5" xr3:uid="{00000000-0010-0000-0600-000005000000}" name="Exports change (kWh)"/>
    <tableColumn id="6" xr3:uid="{00000000-0010-0000-0600-000006000000}" name="Exports change (%)"/>
    <tableColumn id="7" xr3:uid="{00000000-0010-0000-0600-000007000000}" name="Grid→load 10 kWh"/>
    <tableColumn id="8" xr3:uid="{00000000-0010-0000-0600-000008000000}" name="Grid→load 30 kWh"/>
    <tableColumn id="9" xr3:uid="{00000000-0010-0000-0600-000009000000}" name="All imports 10 kWh"/>
    <tableColumn id="10" xr3:uid="{00000000-0010-0000-0600-00000A000000}" name="All imports 30 kWh"/>
    <tableColumn id="11" xr3:uid="{00000000-0010-0000-0600-00000B000000}" name="All imports change (kW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sqref="A1:E1"/>
    </sheetView>
  </sheetViews>
  <sheetFormatPr baseColWidth="10" defaultColWidth="8.83203125" defaultRowHeight="14"/>
  <cols>
    <col min="1" max="1" width="26" customWidth="1"/>
    <col min="2" max="4" width="40" customWidth="1"/>
    <col min="5" max="5" width="30" customWidth="1"/>
  </cols>
  <sheetData>
    <row r="1" spans="1:6" ht="42.75" customHeight="1">
      <c r="A1" s="28" t="s">
        <v>0</v>
      </c>
      <c r="B1" s="28"/>
      <c r="C1" s="28"/>
      <c r="D1" s="28"/>
      <c r="E1" s="28"/>
      <c r="F1" s="1"/>
    </row>
    <row r="2" spans="1:6" ht="42.75" customHeight="1">
      <c r="A2" s="29" t="s">
        <v>1</v>
      </c>
      <c r="B2" s="29"/>
      <c r="C2" s="29"/>
      <c r="D2" s="29"/>
      <c r="E2" s="29"/>
      <c r="F2" s="2"/>
    </row>
    <row r="5" spans="1:6" ht="64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6" ht="180" customHeight="1">
      <c r="A6" s="22" t="s">
        <v>7</v>
      </c>
      <c r="B6" s="22" t="s">
        <v>8</v>
      </c>
      <c r="C6" s="22" t="s">
        <v>9</v>
      </c>
      <c r="D6" s="22" t="s">
        <v>10</v>
      </c>
      <c r="E6" s="24" t="s">
        <v>11</v>
      </c>
    </row>
    <row r="7" spans="1:6" ht="180" customHeight="1">
      <c r="A7" s="23" t="s">
        <v>12</v>
      </c>
      <c r="B7" s="23" t="s">
        <v>13</v>
      </c>
      <c r="C7" s="23" t="s">
        <v>14</v>
      </c>
      <c r="D7" s="23" t="s">
        <v>15</v>
      </c>
      <c r="E7" s="25" t="s">
        <v>16</v>
      </c>
    </row>
    <row r="8" spans="1:6" ht="180" customHeight="1">
      <c r="A8" s="22" t="s">
        <v>17</v>
      </c>
      <c r="B8" s="22" t="s">
        <v>18</v>
      </c>
      <c r="C8" s="22" t="s">
        <v>19</v>
      </c>
      <c r="D8" s="22" t="s">
        <v>20</v>
      </c>
      <c r="E8" s="24" t="s">
        <v>21</v>
      </c>
    </row>
    <row r="9" spans="1:6" ht="180" customHeight="1">
      <c r="A9" s="23" t="s">
        <v>22</v>
      </c>
      <c r="B9" s="23" t="s">
        <v>23</v>
      </c>
      <c r="C9" s="23" t="s">
        <v>24</v>
      </c>
      <c r="D9" s="23" t="s">
        <v>25</v>
      </c>
      <c r="E9" s="25" t="s">
        <v>26</v>
      </c>
    </row>
    <row r="12" spans="1:6" ht="42.75" customHeight="1">
      <c r="A12" s="26" t="s">
        <v>27</v>
      </c>
      <c r="B12" s="26"/>
      <c r="C12" s="26"/>
      <c r="D12" s="26"/>
      <c r="E12" s="26"/>
    </row>
    <row r="14" spans="1:6">
      <c r="A14" s="27" t="s">
        <v>28</v>
      </c>
      <c r="B14" s="27"/>
      <c r="C14" s="27"/>
      <c r="D14" s="27"/>
      <c r="E14" s="27"/>
    </row>
    <row r="15" spans="1:6">
      <c r="A15" s="27"/>
      <c r="B15" s="27"/>
      <c r="C15" s="27"/>
      <c r="D15" s="27"/>
      <c r="E15" s="27"/>
    </row>
    <row r="16" spans="1:6">
      <c r="A16" s="27"/>
      <c r="B16" s="27"/>
      <c r="C16" s="27"/>
      <c r="D16" s="27"/>
      <c r="E16" s="27"/>
    </row>
  </sheetData>
  <mergeCells count="4">
    <mergeCell ref="A12:E12"/>
    <mergeCell ref="A14:E16"/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1"/>
  <sheetViews>
    <sheetView topLeftCell="D1" workbookViewId="0">
      <selection activeCell="N6" sqref="N6"/>
    </sheetView>
  </sheetViews>
  <sheetFormatPr baseColWidth="10" defaultColWidth="8.83203125" defaultRowHeight="14"/>
  <cols>
    <col min="1" max="1" width="23" customWidth="1"/>
    <col min="2" max="24" width="18" customWidth="1"/>
    <col min="25" max="27" width="38" customWidth="1"/>
    <col min="28" max="29" width="18" customWidth="1"/>
  </cols>
  <sheetData>
    <row r="1" spans="1:29" ht="42.75" customHeight="1">
      <c r="A1" s="28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spans="1:29" ht="44" customHeight="1">
      <c r="A2" s="29" t="s">
        <v>30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5" spans="1:29" ht="64" customHeight="1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45</v>
      </c>
      <c r="P5" s="4" t="s">
        <v>46</v>
      </c>
      <c r="Q5" s="4" t="s">
        <v>47</v>
      </c>
      <c r="R5" s="4" t="s">
        <v>48</v>
      </c>
      <c r="S5" s="4" t="s">
        <v>49</v>
      </c>
      <c r="T5" s="4" t="s">
        <v>50</v>
      </c>
      <c r="U5" s="4" t="s">
        <v>51</v>
      </c>
      <c r="V5" s="4" t="s">
        <v>52</v>
      </c>
      <c r="W5" s="4" t="s">
        <v>53</v>
      </c>
      <c r="X5" s="4" t="s">
        <v>54</v>
      </c>
      <c r="Y5" s="4" t="s">
        <v>55</v>
      </c>
      <c r="Z5" s="4" t="s">
        <v>56</v>
      </c>
      <c r="AA5" s="4" t="s">
        <v>57</v>
      </c>
      <c r="AB5" s="4" t="s">
        <v>58</v>
      </c>
      <c r="AC5" s="4" t="s">
        <v>59</v>
      </c>
    </row>
    <row r="6" spans="1:29" ht="30.75" customHeight="1">
      <c r="A6" s="3" t="s">
        <v>60</v>
      </c>
      <c r="B6" s="8">
        <v>0.2</v>
      </c>
      <c r="C6" s="10" t="s">
        <v>61</v>
      </c>
      <c r="D6" s="3">
        <v>10</v>
      </c>
      <c r="E6" s="6">
        <v>15485.996310237682</v>
      </c>
      <c r="F6" s="6">
        <v>4244.3163767441856</v>
      </c>
      <c r="G6" s="6">
        <v>1798.7406715864483</v>
      </c>
      <c r="H6" s="6">
        <v>1042.8352162855299</v>
      </c>
      <c r="I6" s="6">
        <v>881.46445974357061</v>
      </c>
      <c r="J6" s="6">
        <v>1564.1112454141669</v>
      </c>
      <c r="K6" s="6">
        <v>12644.420422365703</v>
      </c>
      <c r="L6" s="6">
        <v>1564.1112454141669</v>
      </c>
      <c r="M6" s="6">
        <v>1499.137030043752</v>
      </c>
      <c r="N6" s="6">
        <v>1089.664919125335</v>
      </c>
      <c r="O6" s="6">
        <v>917.19937976396045</v>
      </c>
      <c r="P6" s="6">
        <v>478.32014795099923</v>
      </c>
      <c r="Q6" s="6">
        <v>-830.06326858854322</v>
      </c>
      <c r="R6" s="6">
        <v>38.783501457157463</v>
      </c>
      <c r="S6" s="6">
        <v>161.37558016985631</v>
      </c>
      <c r="T6" s="6">
        <v>-4.8236278975490876E-3</v>
      </c>
      <c r="U6" s="6">
        <v>3359</v>
      </c>
      <c r="V6" s="6">
        <v>0.03</v>
      </c>
      <c r="W6" s="6">
        <v>0.20096168554210472</v>
      </c>
      <c r="X6" s="6">
        <v>1.8189894035458565E-12</v>
      </c>
      <c r="Y6" s="12" t="s">
        <v>62</v>
      </c>
      <c r="Z6" s="12" t="s">
        <v>63</v>
      </c>
      <c r="AA6" s="12" t="s">
        <v>64</v>
      </c>
      <c r="AB6" s="6">
        <v>-4154.6678371222233</v>
      </c>
      <c r="AC6" s="6">
        <v>-5682.20626400536</v>
      </c>
    </row>
    <row r="7" spans="1:29" ht="30.75" customHeight="1">
      <c r="A7" s="5" t="s">
        <v>65</v>
      </c>
      <c r="B7" s="9">
        <v>0.2</v>
      </c>
      <c r="C7" s="11" t="s">
        <v>61</v>
      </c>
      <c r="D7" s="5">
        <v>15</v>
      </c>
      <c r="E7" s="7">
        <v>15485.996310237682</v>
      </c>
      <c r="F7" s="7">
        <v>4244.3163767441856</v>
      </c>
      <c r="G7" s="7">
        <v>1798.7406715864483</v>
      </c>
      <c r="H7" s="7">
        <v>1049.1135684643896</v>
      </c>
      <c r="I7" s="7">
        <v>885.59838120589814</v>
      </c>
      <c r="J7" s="7">
        <v>1559.9773239518395</v>
      </c>
      <c r="K7" s="7">
        <v>12638.142070186845</v>
      </c>
      <c r="L7" s="7">
        <v>1559.9773239518395</v>
      </c>
      <c r="M7" s="7">
        <v>1498.8810474362281</v>
      </c>
      <c r="N7" s="7">
        <v>1088.8108306004783</v>
      </c>
      <c r="O7" s="7">
        <v>916.97404335429769</v>
      </c>
      <c r="P7" s="7">
        <v>477.77842763537819</v>
      </c>
      <c r="Q7" s="7">
        <v>-829.80728598101939</v>
      </c>
      <c r="R7" s="7">
        <v>38.52751884963358</v>
      </c>
      <c r="S7" s="7">
        <v>163.0208208215916</v>
      </c>
      <c r="T7" s="7">
        <v>0.49436643689942628</v>
      </c>
      <c r="U7" s="7">
        <v>3357</v>
      </c>
      <c r="V7" s="7">
        <v>0.03</v>
      </c>
      <c r="W7" s="7">
        <v>0.20096168554210472</v>
      </c>
      <c r="X7" s="7">
        <v>9.0949470177292824E-13</v>
      </c>
      <c r="Y7" s="13" t="s">
        <v>66</v>
      </c>
      <c r="Z7" s="13" t="s">
        <v>63</v>
      </c>
      <c r="AA7" s="13" t="s">
        <v>67</v>
      </c>
      <c r="AB7" s="7">
        <v>-4153.6437792942634</v>
      </c>
      <c r="AC7" s="7">
        <v>-5680.8947704666771</v>
      </c>
    </row>
    <row r="8" spans="1:29" ht="30.75" customHeight="1">
      <c r="A8" s="3" t="s">
        <v>68</v>
      </c>
      <c r="B8" s="8">
        <v>0.2</v>
      </c>
      <c r="C8" s="10" t="s">
        <v>61</v>
      </c>
      <c r="D8" s="3">
        <v>20</v>
      </c>
      <c r="E8" s="6">
        <v>15485.996310237682</v>
      </c>
      <c r="F8" s="6">
        <v>4244.3163767441856</v>
      </c>
      <c r="G8" s="6">
        <v>1798.7406715864483</v>
      </c>
      <c r="H8" s="6">
        <v>1051.350825164845</v>
      </c>
      <c r="I8" s="6">
        <v>886.30843288723349</v>
      </c>
      <c r="J8" s="6">
        <v>1559.267272270504</v>
      </c>
      <c r="K8" s="6">
        <v>12635.90481348639</v>
      </c>
      <c r="L8" s="6">
        <v>1559.267272270504</v>
      </c>
      <c r="M8" s="6">
        <v>1498.7466071023848</v>
      </c>
      <c r="N8" s="6">
        <v>1088.5829431284835</v>
      </c>
      <c r="O8" s="6">
        <v>916.85126456320108</v>
      </c>
      <c r="P8" s="6">
        <v>477.63895941483702</v>
      </c>
      <c r="Q8" s="6">
        <v>-829.67284564717602</v>
      </c>
      <c r="R8" s="6">
        <v>38.393078515790329</v>
      </c>
      <c r="S8" s="6">
        <v>164.04883577591355</v>
      </c>
      <c r="T8" s="6">
        <v>0.99355650169639986</v>
      </c>
      <c r="U8" s="6">
        <v>3356</v>
      </c>
      <c r="V8" s="6">
        <v>0.03</v>
      </c>
      <c r="W8" s="6">
        <v>0.20096168554210472</v>
      </c>
      <c r="X8" s="6">
        <v>9.0949470177292824E-13</v>
      </c>
      <c r="Y8" s="12" t="s">
        <v>69</v>
      </c>
      <c r="Z8" s="12" t="s">
        <v>63</v>
      </c>
      <c r="AA8" s="12" t="s">
        <v>70</v>
      </c>
      <c r="AB8" s="6">
        <v>-4153.0845109847869</v>
      </c>
      <c r="AC8" s="6">
        <v>-5680.1498607623616</v>
      </c>
    </row>
    <row r="9" spans="1:29" ht="30.75" customHeight="1">
      <c r="A9" s="5" t="s">
        <v>71</v>
      </c>
      <c r="B9" s="9">
        <v>0.2</v>
      </c>
      <c r="C9" s="11" t="s">
        <v>61</v>
      </c>
      <c r="D9" s="5">
        <v>30</v>
      </c>
      <c r="E9" s="7">
        <v>15485.996310237682</v>
      </c>
      <c r="F9" s="7">
        <v>4244.3163767441856</v>
      </c>
      <c r="G9" s="7">
        <v>1798.7406715864483</v>
      </c>
      <c r="H9" s="7">
        <v>1054.1492710460652</v>
      </c>
      <c r="I9" s="7">
        <v>886.30843288723349</v>
      </c>
      <c r="J9" s="7">
        <v>1559.267272270504</v>
      </c>
      <c r="K9" s="7">
        <v>12633.106367605169</v>
      </c>
      <c r="L9" s="7">
        <v>1559.267272270504</v>
      </c>
      <c r="M9" s="7">
        <v>1498.5204133320649</v>
      </c>
      <c r="N9" s="7">
        <v>1088.4041277436995</v>
      </c>
      <c r="O9" s="7">
        <v>916.67244917841708</v>
      </c>
      <c r="P9" s="7">
        <v>477.54409740648953</v>
      </c>
      <c r="Q9" s="7">
        <v>-829.44665187685598</v>
      </c>
      <c r="R9" s="7">
        <v>38.166884745470185</v>
      </c>
      <c r="S9" s="7">
        <v>165.84890152753979</v>
      </c>
      <c r="T9" s="7">
        <v>1.9919366312903506</v>
      </c>
      <c r="U9" s="7">
        <v>3356</v>
      </c>
      <c r="V9" s="7">
        <v>0.03</v>
      </c>
      <c r="W9" s="7">
        <v>0.20096168554210472</v>
      </c>
      <c r="X9" s="7">
        <v>9.0949470177292824E-13</v>
      </c>
      <c r="Y9" s="13" t="s">
        <v>72</v>
      </c>
      <c r="Z9" s="13" t="s">
        <v>63</v>
      </c>
      <c r="AA9" s="13" t="s">
        <v>73</v>
      </c>
      <c r="AB9" s="7">
        <v>-4152.338517029204</v>
      </c>
      <c r="AC9" s="7">
        <v>-5679.0775987508587</v>
      </c>
    </row>
    <row r="10" spans="1:29" ht="30.75" customHeight="1">
      <c r="A10" s="3" t="s">
        <v>74</v>
      </c>
      <c r="B10" s="8">
        <v>0.2</v>
      </c>
      <c r="C10" s="10" t="s">
        <v>75</v>
      </c>
      <c r="D10" s="3">
        <v>10</v>
      </c>
      <c r="E10" s="6">
        <v>15485.996310237682</v>
      </c>
      <c r="F10" s="6">
        <v>4244.3163767441856</v>
      </c>
      <c r="G10" s="6">
        <v>1798.7406715864483</v>
      </c>
      <c r="H10" s="6">
        <v>2905.8908574933012</v>
      </c>
      <c r="I10" s="6">
        <v>2466.0978065633444</v>
      </c>
      <c r="J10" s="6">
        <v>2032.1834582721797</v>
      </c>
      <c r="K10" s="6">
        <v>14058.374110968422</v>
      </c>
      <c r="L10" s="6">
        <v>3256.4872284048824</v>
      </c>
      <c r="M10" s="6">
        <v>1576.5774927216694</v>
      </c>
      <c r="N10" s="6">
        <v>1273.8922170900289</v>
      </c>
      <c r="O10" s="6">
        <v>942.07551038207885</v>
      </c>
      <c r="P10" s="6">
        <v>765.97811555651947</v>
      </c>
      <c r="Q10" s="6">
        <v>-907.50373126646059</v>
      </c>
      <c r="R10" s="6">
        <v>116.22396413507481</v>
      </c>
      <c r="S10" s="6">
        <v>447.79305092995628</v>
      </c>
      <c r="T10" s="6">
        <v>-8</v>
      </c>
      <c r="U10" s="6">
        <v>3549</v>
      </c>
      <c r="V10" s="6">
        <v>0.03</v>
      </c>
      <c r="W10" s="6">
        <v>0.20096168554210472</v>
      </c>
      <c r="X10" s="6">
        <v>9.0949470177292824E-13</v>
      </c>
      <c r="Y10" s="12" t="s">
        <v>76</v>
      </c>
      <c r="Z10" s="12" t="s">
        <v>63</v>
      </c>
      <c r="AA10" s="12" t="s">
        <v>77</v>
      </c>
      <c r="AB10" s="6">
        <v>-5164.3285479665483</v>
      </c>
      <c r="AC10" s="6">
        <v>-6677.9060667443982</v>
      </c>
    </row>
    <row r="11" spans="1:29" ht="30.75" customHeight="1">
      <c r="A11" s="5" t="s">
        <v>78</v>
      </c>
      <c r="B11" s="9">
        <v>0.2</v>
      </c>
      <c r="C11" s="11" t="s">
        <v>75</v>
      </c>
      <c r="D11" s="5">
        <v>15</v>
      </c>
      <c r="E11" s="7">
        <v>15485.996310237682</v>
      </c>
      <c r="F11" s="7">
        <v>4244.3163767441856</v>
      </c>
      <c r="G11" s="7">
        <v>1798.7406715864483</v>
      </c>
      <c r="H11" s="7">
        <v>3793.6505706482289</v>
      </c>
      <c r="I11" s="7">
        <v>3220.745029082369</v>
      </c>
      <c r="J11" s="7">
        <v>1952.3972787819032</v>
      </c>
      <c r="K11" s="7">
        <v>14048.562332294008</v>
      </c>
      <c r="L11" s="7">
        <v>3379.7879403663692</v>
      </c>
      <c r="M11" s="7">
        <v>1611.671847545869</v>
      </c>
      <c r="N11" s="7">
        <v>1229.2759644766243</v>
      </c>
      <c r="O11" s="7">
        <v>892.87987944223744</v>
      </c>
      <c r="P11" s="7">
        <v>770.63407101333337</v>
      </c>
      <c r="Q11" s="7">
        <v>-942.59808609066033</v>
      </c>
      <c r="R11" s="7">
        <v>151.31831895927451</v>
      </c>
      <c r="S11" s="7">
        <v>584.90554156585847</v>
      </c>
      <c r="T11" s="7">
        <v>-12</v>
      </c>
      <c r="U11" s="7">
        <v>3603</v>
      </c>
      <c r="V11" s="7">
        <v>0.03</v>
      </c>
      <c r="W11" s="7">
        <v>0.20096168554210472</v>
      </c>
      <c r="X11" s="7">
        <v>9.0949470177292824E-13</v>
      </c>
      <c r="Y11" s="13" t="s">
        <v>79</v>
      </c>
      <c r="Z11" s="13" t="s">
        <v>63</v>
      </c>
      <c r="AA11" s="13" t="s">
        <v>80</v>
      </c>
      <c r="AB11" s="7">
        <v>-4937.9060426984724</v>
      </c>
      <c r="AC11" s="7">
        <v>-6421.1745954846065</v>
      </c>
    </row>
    <row r="12" spans="1:29" ht="30.75" customHeight="1">
      <c r="A12" s="3" t="s">
        <v>81</v>
      </c>
      <c r="B12" s="8">
        <v>0.2</v>
      </c>
      <c r="C12" s="10" t="s">
        <v>75</v>
      </c>
      <c r="D12" s="3">
        <v>20</v>
      </c>
      <c r="E12" s="6">
        <v>15485.996310237682</v>
      </c>
      <c r="F12" s="6">
        <v>4244.3163767441856</v>
      </c>
      <c r="G12" s="6">
        <v>1798.7406715864483</v>
      </c>
      <c r="H12" s="6">
        <v>4400.188115323861</v>
      </c>
      <c r="I12" s="6">
        <v>3736.6595277508709</v>
      </c>
      <c r="J12" s="6">
        <v>1874.724194182661</v>
      </c>
      <c r="K12" s="6">
        <v>14009.280142704403</v>
      </c>
      <c r="L12" s="6">
        <v>3431.1287967838971</v>
      </c>
      <c r="M12" s="6">
        <v>1624.6128261232102</v>
      </c>
      <c r="N12" s="6">
        <v>1214.8523709182598</v>
      </c>
      <c r="O12" s="6">
        <v>876.49981785457965</v>
      </c>
      <c r="P12" s="6">
        <v>789.88403875529298</v>
      </c>
      <c r="Q12" s="6">
        <v>-955.5390646680014</v>
      </c>
      <c r="R12" s="6">
        <v>164.25929753661566</v>
      </c>
      <c r="S12" s="6">
        <v>678.78977712860819</v>
      </c>
      <c r="T12" s="6">
        <v>-15.26118955561752</v>
      </c>
      <c r="U12" s="6">
        <v>3761</v>
      </c>
      <c r="V12" s="6">
        <v>0.03</v>
      </c>
      <c r="W12" s="6">
        <v>0.20096168554210472</v>
      </c>
      <c r="X12" s="6">
        <v>4.5474735088646412E-13</v>
      </c>
      <c r="Y12" s="12" t="s">
        <v>82</v>
      </c>
      <c r="Z12" s="12" t="s">
        <v>63</v>
      </c>
      <c r="AA12" s="12" t="s">
        <v>83</v>
      </c>
      <c r="AB12" s="6">
        <v>-4664.5587743890801</v>
      </c>
      <c r="AC12" s="6">
        <v>-6089.8719601793073</v>
      </c>
    </row>
    <row r="13" spans="1:29" ht="30.75" customHeight="1">
      <c r="A13" s="5" t="s">
        <v>84</v>
      </c>
      <c r="B13" s="9">
        <v>0.2</v>
      </c>
      <c r="C13" s="11" t="s">
        <v>75</v>
      </c>
      <c r="D13" s="5">
        <v>30</v>
      </c>
      <c r="E13" s="7">
        <v>15485.996310237682</v>
      </c>
      <c r="F13" s="7">
        <v>4244.3163767441856</v>
      </c>
      <c r="G13" s="7">
        <v>1798.7406715864483</v>
      </c>
      <c r="H13" s="7">
        <v>4969.1295812194148</v>
      </c>
      <c r="I13" s="7">
        <v>4222.7651065301898</v>
      </c>
      <c r="J13" s="7">
        <v>1838.4999023236246</v>
      </c>
      <c r="K13" s="7">
        <v>14026.100616260548</v>
      </c>
      <c r="L13" s="7">
        <v>3530.7851574562765</v>
      </c>
      <c r="M13" s="7">
        <v>1626.2747232355657</v>
      </c>
      <c r="N13" s="7">
        <v>1201.5864818602718</v>
      </c>
      <c r="O13" s="7">
        <v>854.00832338392729</v>
      </c>
      <c r="P13" s="7">
        <v>808.26956103755128</v>
      </c>
      <c r="Q13" s="7">
        <v>-957.20096178035669</v>
      </c>
      <c r="R13" s="7">
        <v>165.92119464897095</v>
      </c>
      <c r="S13" s="7">
        <v>767.62558425204315</v>
      </c>
      <c r="T13" s="7">
        <v>-21.261109562817392</v>
      </c>
      <c r="U13" s="7">
        <v>3814</v>
      </c>
      <c r="V13" s="7">
        <v>0.03</v>
      </c>
      <c r="W13" s="7">
        <v>0.20096168554210472</v>
      </c>
      <c r="X13" s="7">
        <v>2.2737367544323206E-13</v>
      </c>
      <c r="Y13" s="13" t="s">
        <v>85</v>
      </c>
      <c r="Z13" s="13" t="s">
        <v>63</v>
      </c>
      <c r="AA13" s="13" t="s">
        <v>86</v>
      </c>
      <c r="AB13" s="7">
        <v>-4435.3580461768343</v>
      </c>
      <c r="AC13" s="7">
        <v>-5814.7704380794421</v>
      </c>
    </row>
    <row r="14" spans="1:29" ht="30.75" customHeight="1">
      <c r="A14" s="3" t="s">
        <v>87</v>
      </c>
      <c r="B14" s="8">
        <v>0.2</v>
      </c>
      <c r="C14" s="10" t="s">
        <v>88</v>
      </c>
      <c r="D14" s="3">
        <v>10</v>
      </c>
      <c r="E14" s="6">
        <v>15485.996310237682</v>
      </c>
      <c r="F14" s="6">
        <v>4244.3163767441856</v>
      </c>
      <c r="G14" s="6">
        <v>2205.6120351222212</v>
      </c>
      <c r="H14" s="6">
        <v>3174.7968786714368</v>
      </c>
      <c r="I14" s="6">
        <v>2686.4706034461151</v>
      </c>
      <c r="J14" s="6">
        <v>1401.7178868769868</v>
      </c>
      <c r="K14" s="6">
        <v>12475.726286176403</v>
      </c>
      <c r="L14" s="6">
        <v>1722.3726279082252</v>
      </c>
      <c r="M14" s="6">
        <v>1655.28927101196</v>
      </c>
      <c r="N14" s="6">
        <v>919.03318026090301</v>
      </c>
      <c r="O14" s="6">
        <v>756.9798081610495</v>
      </c>
      <c r="P14" s="6">
        <v>425.79744326922071</v>
      </c>
      <c r="Q14" s="6">
        <v>-986.21550955675127</v>
      </c>
      <c r="R14" s="6">
        <v>194.9357424253655</v>
      </c>
      <c r="S14" s="6">
        <v>488.3262752253205</v>
      </c>
      <c r="T14" s="6">
        <v>0</v>
      </c>
      <c r="U14" s="6">
        <v>3918</v>
      </c>
      <c r="V14" s="6">
        <v>0.03</v>
      </c>
      <c r="W14" s="6">
        <v>0.20096168554210472</v>
      </c>
      <c r="X14" s="6">
        <v>1.8189894035458565E-12</v>
      </c>
      <c r="Y14" s="12" t="s">
        <v>89</v>
      </c>
      <c r="Z14" s="12" t="s">
        <v>63</v>
      </c>
      <c r="AA14" s="12" t="s">
        <v>90</v>
      </c>
      <c r="AB14" s="6">
        <v>-3453.100385508108</v>
      </c>
      <c r="AC14" s="6">
        <v>-4941.0360218332244</v>
      </c>
    </row>
    <row r="15" spans="1:29" ht="30.75" customHeight="1">
      <c r="A15" s="5" t="s">
        <v>91</v>
      </c>
      <c r="B15" s="9">
        <v>0.2</v>
      </c>
      <c r="C15" s="11" t="s">
        <v>88</v>
      </c>
      <c r="D15" s="5">
        <v>15</v>
      </c>
      <c r="E15" s="7">
        <v>15485.996310237682</v>
      </c>
      <c r="F15" s="7">
        <v>4244.3163767441856</v>
      </c>
      <c r="G15" s="7">
        <v>2205.6120351222212</v>
      </c>
      <c r="H15" s="7">
        <v>4334.0686016305735</v>
      </c>
      <c r="I15" s="7">
        <v>3667.29095062442</v>
      </c>
      <c r="J15" s="7">
        <v>1362.9558342292441</v>
      </c>
      <c r="K15" s="7">
        <v>12513.658203742114</v>
      </c>
      <c r="L15" s="7">
        <v>1938.7559212547712</v>
      </c>
      <c r="M15" s="7">
        <v>1707.3931816522331</v>
      </c>
      <c r="N15" s="7">
        <v>888.3590886482699</v>
      </c>
      <c r="O15" s="7">
        <v>724.89388371561222</v>
      </c>
      <c r="P15" s="7">
        <v>459.326113760711</v>
      </c>
      <c r="Q15" s="7">
        <v>-1038.3194201970246</v>
      </c>
      <c r="R15" s="7">
        <v>247.03965306563876</v>
      </c>
      <c r="S15" s="7">
        <v>666.77765100615397</v>
      </c>
      <c r="T15" s="7">
        <v>0</v>
      </c>
      <c r="U15" s="7">
        <v>3813</v>
      </c>
      <c r="V15" s="7">
        <v>0.03</v>
      </c>
      <c r="W15" s="7">
        <v>0.20096168554210472</v>
      </c>
      <c r="X15" s="7">
        <v>1.8189894035458565E-12</v>
      </c>
      <c r="Y15" s="13" t="s">
        <v>92</v>
      </c>
      <c r="Z15" s="13" t="s">
        <v>63</v>
      </c>
      <c r="AA15" s="13" t="s">
        <v>93</v>
      </c>
      <c r="AB15" s="7">
        <v>-3404.8563763751818</v>
      </c>
      <c r="AC15" s="7">
        <v>-4858.4758210308801</v>
      </c>
    </row>
    <row r="16" spans="1:29" ht="30.75" customHeight="1">
      <c r="A16" s="3" t="s">
        <v>94</v>
      </c>
      <c r="B16" s="8">
        <v>0.2</v>
      </c>
      <c r="C16" s="10" t="s">
        <v>88</v>
      </c>
      <c r="D16" s="3">
        <v>20</v>
      </c>
      <c r="E16" s="6">
        <v>15485.996310237682</v>
      </c>
      <c r="F16" s="6">
        <v>4244.3163767441856</v>
      </c>
      <c r="G16" s="6">
        <v>2205.6120351222212</v>
      </c>
      <c r="H16" s="6">
        <v>5142.7784768263919</v>
      </c>
      <c r="I16" s="6">
        <v>4351.3084503387636</v>
      </c>
      <c r="J16" s="6">
        <v>1347.5186174233659</v>
      </c>
      <c r="K16" s="6">
        <v>12778.659351101049</v>
      </c>
      <c r="L16" s="6">
        <v>2328.4494440951785</v>
      </c>
      <c r="M16" s="6">
        <v>1737.4525935073339</v>
      </c>
      <c r="N16" s="6">
        <v>876.43908882905885</v>
      </c>
      <c r="O16" s="6">
        <v>704.20063473498021</v>
      </c>
      <c r="P16" s="6">
        <v>492.1879351888046</v>
      </c>
      <c r="Q16" s="6">
        <v>-1068.3788320521253</v>
      </c>
      <c r="R16" s="6">
        <v>277.09906492073935</v>
      </c>
      <c r="S16" s="6">
        <v>791.47002648762236</v>
      </c>
      <c r="T16" s="6">
        <v>0</v>
      </c>
      <c r="U16" s="6">
        <v>3907</v>
      </c>
      <c r="V16" s="6">
        <v>0.03</v>
      </c>
      <c r="W16" s="6">
        <v>0.20096168554210472</v>
      </c>
      <c r="X16" s="6">
        <v>9.0949470177292824E-13</v>
      </c>
      <c r="Y16" s="12" t="s">
        <v>95</v>
      </c>
      <c r="Z16" s="12" t="s">
        <v>63</v>
      </c>
      <c r="AA16" s="12" t="s">
        <v>96</v>
      </c>
      <c r="AB16" s="6">
        <v>-3430.1713378032505</v>
      </c>
      <c r="AC16" s="6">
        <v>-4884.5122771144142</v>
      </c>
    </row>
    <row r="17" spans="1:29" ht="30.75" customHeight="1">
      <c r="A17" s="5" t="s">
        <v>97</v>
      </c>
      <c r="B17" s="9">
        <v>0.2</v>
      </c>
      <c r="C17" s="11" t="s">
        <v>88</v>
      </c>
      <c r="D17" s="5">
        <v>30</v>
      </c>
      <c r="E17" s="7">
        <v>15485.996310237682</v>
      </c>
      <c r="F17" s="7">
        <v>4244.3163767441856</v>
      </c>
      <c r="G17" s="7">
        <v>2205.6120351222212</v>
      </c>
      <c r="H17" s="7">
        <v>5717.5564487412867</v>
      </c>
      <c r="I17" s="7">
        <v>4836.5801400844557</v>
      </c>
      <c r="J17" s="7">
        <v>1343.0333954526727</v>
      </c>
      <c r="K17" s="7">
        <v>13148.396737202271</v>
      </c>
      <c r="L17" s="7">
        <v>2787.6931123656041</v>
      </c>
      <c r="M17" s="7">
        <v>1757.0731498032053</v>
      </c>
      <c r="N17" s="7">
        <v>869.82311500890023</v>
      </c>
      <c r="O17" s="7">
        <v>688.04527037270373</v>
      </c>
      <c r="P17" s="7">
        <v>517.37345121846374</v>
      </c>
      <c r="Q17" s="7">
        <v>-1087.9993883479965</v>
      </c>
      <c r="R17" s="7">
        <v>296.71962121661068</v>
      </c>
      <c r="S17" s="7">
        <v>880.9763086568347</v>
      </c>
      <c r="T17" s="7">
        <v>0</v>
      </c>
      <c r="U17" s="7">
        <v>3869</v>
      </c>
      <c r="V17" s="7">
        <v>0.03</v>
      </c>
      <c r="W17" s="7">
        <v>0.20096168554210472</v>
      </c>
      <c r="X17" s="7">
        <v>9.0949470177292824E-13</v>
      </c>
      <c r="Y17" s="13" t="s">
        <v>98</v>
      </c>
      <c r="Z17" s="13" t="s">
        <v>63</v>
      </c>
      <c r="AA17" s="13" t="s">
        <v>99</v>
      </c>
      <c r="AB17" s="7">
        <v>-3648.7849657702322</v>
      </c>
      <c r="AC17" s="7">
        <v>-5148.32390042931</v>
      </c>
    </row>
    <row r="18" spans="1:29" ht="30.75" customHeight="1">
      <c r="A18" s="3" t="s">
        <v>100</v>
      </c>
      <c r="B18" s="8">
        <v>0.25</v>
      </c>
      <c r="C18" s="10" t="s">
        <v>61</v>
      </c>
      <c r="D18" s="3">
        <v>10</v>
      </c>
      <c r="E18" s="6">
        <v>15485.996310237682</v>
      </c>
      <c r="F18" s="6">
        <v>4244.3163767441856</v>
      </c>
      <c r="G18" s="6">
        <v>1872.0539768799608</v>
      </c>
      <c r="H18" s="6">
        <v>972.19194408862734</v>
      </c>
      <c r="I18" s="6">
        <v>821.53746708598305</v>
      </c>
      <c r="J18" s="6">
        <v>1550.724932778242</v>
      </c>
      <c r="K18" s="6">
        <v>12641.750389269095</v>
      </c>
      <c r="L18" s="6">
        <v>1550.724932778242</v>
      </c>
      <c r="M18" s="6">
        <v>1552.1201149534054</v>
      </c>
      <c r="N18" s="6">
        <v>1153.0123666164741</v>
      </c>
      <c r="O18" s="6">
        <v>982.66543862096069</v>
      </c>
      <c r="P18" s="6">
        <v>480.81206969060258</v>
      </c>
      <c r="Q18" s="6">
        <v>-826.10793569229588</v>
      </c>
      <c r="R18" s="6">
        <v>34.828168560910065</v>
      </c>
      <c r="S18" s="6">
        <v>150.53611985549048</v>
      </c>
      <c r="T18" s="6">
        <v>0.11835714715336465</v>
      </c>
      <c r="U18" s="6">
        <v>3355</v>
      </c>
      <c r="V18" s="6">
        <v>0.03</v>
      </c>
      <c r="W18" s="6">
        <v>0.22518723563767654</v>
      </c>
      <c r="X18" s="6">
        <v>9.0949470177292824E-13</v>
      </c>
      <c r="Y18" s="12" t="s">
        <v>101</v>
      </c>
      <c r="Z18" s="12" t="s">
        <v>102</v>
      </c>
      <c r="AA18" s="12" t="s">
        <v>103</v>
      </c>
      <c r="AB18" s="6">
        <v>-5441.4322843703139</v>
      </c>
      <c r="AC18" s="6">
        <v>-6964.7764177892204</v>
      </c>
    </row>
    <row r="19" spans="1:29" ht="30.75" customHeight="1">
      <c r="A19" s="5" t="s">
        <v>104</v>
      </c>
      <c r="B19" s="9">
        <v>0.25</v>
      </c>
      <c r="C19" s="11" t="s">
        <v>61</v>
      </c>
      <c r="D19" s="5">
        <v>15</v>
      </c>
      <c r="E19" s="7">
        <v>15485.996310237682</v>
      </c>
      <c r="F19" s="7">
        <v>4244.3163767441856</v>
      </c>
      <c r="G19" s="7">
        <v>1872.0539768799608</v>
      </c>
      <c r="H19" s="7">
        <v>978.47035315442463</v>
      </c>
      <c r="I19" s="7">
        <v>825.67108780385945</v>
      </c>
      <c r="J19" s="7">
        <v>1546.5913120603655</v>
      </c>
      <c r="K19" s="7">
        <v>12635.471980203298</v>
      </c>
      <c r="L19" s="7">
        <v>1546.5913120603655</v>
      </c>
      <c r="M19" s="7">
        <v>1551.8673427267299</v>
      </c>
      <c r="N19" s="7">
        <v>1152.1575786134638</v>
      </c>
      <c r="O19" s="7">
        <v>982.44353276935283</v>
      </c>
      <c r="P19" s="7">
        <v>480.26964258110257</v>
      </c>
      <c r="Q19" s="7">
        <v>-825.85516346562031</v>
      </c>
      <c r="R19" s="7">
        <v>34.575396334234469</v>
      </c>
      <c r="S19" s="7">
        <v>152.18171813861409</v>
      </c>
      <c r="T19" s="7">
        <v>0.61754721195034179</v>
      </c>
      <c r="U19" s="7">
        <v>3353</v>
      </c>
      <c r="V19" s="7">
        <v>0.03</v>
      </c>
      <c r="W19" s="7">
        <v>0.22518723563767654</v>
      </c>
      <c r="X19" s="7">
        <v>9.0949470177292824E-13</v>
      </c>
      <c r="Y19" s="13" t="s">
        <v>105</v>
      </c>
      <c r="Z19" s="13" t="s">
        <v>102</v>
      </c>
      <c r="AA19" s="13" t="s">
        <v>106</v>
      </c>
      <c r="AB19" s="7">
        <v>-5440.1782422633041</v>
      </c>
      <c r="AC19" s="7">
        <v>-6963.245634106619</v>
      </c>
    </row>
    <row r="20" spans="1:29" ht="30.75" customHeight="1">
      <c r="A20" s="3" t="s">
        <v>107</v>
      </c>
      <c r="B20" s="8">
        <v>0.25</v>
      </c>
      <c r="C20" s="10" t="s">
        <v>61</v>
      </c>
      <c r="D20" s="3">
        <v>20</v>
      </c>
      <c r="E20" s="6">
        <v>15485.996310237682</v>
      </c>
      <c r="F20" s="6">
        <v>4244.3163767441856</v>
      </c>
      <c r="G20" s="6">
        <v>1872.0539768799608</v>
      </c>
      <c r="H20" s="6">
        <v>980.15504602652595</v>
      </c>
      <c r="I20" s="6">
        <v>825.91295368498959</v>
      </c>
      <c r="J20" s="6">
        <v>1546.3494461792354</v>
      </c>
      <c r="K20" s="6">
        <v>12633.787287331197</v>
      </c>
      <c r="L20" s="6">
        <v>1546.3494461792354</v>
      </c>
      <c r="M20" s="6">
        <v>1551.7475930805977</v>
      </c>
      <c r="N20" s="6">
        <v>1152.0157457452406</v>
      </c>
      <c r="O20" s="6">
        <v>982.3358948994038</v>
      </c>
      <c r="P20" s="6">
        <v>480.18560647547622</v>
      </c>
      <c r="Q20" s="6">
        <v>-825.7354138194878</v>
      </c>
      <c r="R20" s="6">
        <v>34.455646688102149</v>
      </c>
      <c r="S20" s="6">
        <v>153.12535506478773</v>
      </c>
      <c r="T20" s="6">
        <v>1.1167372767473154</v>
      </c>
      <c r="U20" s="6">
        <v>3352</v>
      </c>
      <c r="V20" s="6">
        <v>0.03</v>
      </c>
      <c r="W20" s="6">
        <v>0.22518723563767654</v>
      </c>
      <c r="X20" s="6">
        <v>2.2737367544323206E-13</v>
      </c>
      <c r="Y20" s="12" t="s">
        <v>108</v>
      </c>
      <c r="Z20" s="12" t="s">
        <v>102</v>
      </c>
      <c r="AA20" s="12" t="s">
        <v>109</v>
      </c>
      <c r="AB20" s="6">
        <v>-5439.5970799594852</v>
      </c>
      <c r="AC20" s="6">
        <v>-6962.4992143612872</v>
      </c>
    </row>
    <row r="21" spans="1:29" ht="30.75" customHeight="1">
      <c r="A21" s="5" t="s">
        <v>110</v>
      </c>
      <c r="B21" s="9">
        <v>0.25</v>
      </c>
      <c r="C21" s="11" t="s">
        <v>61</v>
      </c>
      <c r="D21" s="5">
        <v>30</v>
      </c>
      <c r="E21" s="7">
        <v>15485.996310237682</v>
      </c>
      <c r="F21" s="7">
        <v>4244.3163767441856</v>
      </c>
      <c r="G21" s="7">
        <v>1872.0539768799608</v>
      </c>
      <c r="H21" s="7">
        <v>982.95350073548116</v>
      </c>
      <c r="I21" s="7">
        <v>825.91295368498959</v>
      </c>
      <c r="J21" s="7">
        <v>1546.3494461792354</v>
      </c>
      <c r="K21" s="7">
        <v>12630.988832622241</v>
      </c>
      <c r="L21" s="7">
        <v>1546.3494461792354</v>
      </c>
      <c r="M21" s="7">
        <v>1551.5212801603375</v>
      </c>
      <c r="N21" s="7">
        <v>1151.8276094854439</v>
      </c>
      <c r="O21" s="7">
        <v>982.1477586396071</v>
      </c>
      <c r="P21" s="7">
        <v>480.08142385694816</v>
      </c>
      <c r="Q21" s="7">
        <v>-825.50910089922786</v>
      </c>
      <c r="R21" s="7">
        <v>34.22933376784205</v>
      </c>
      <c r="S21" s="7">
        <v>154.92542964414878</v>
      </c>
      <c r="T21" s="7">
        <v>2.1151174063412697</v>
      </c>
      <c r="U21" s="7">
        <v>3352</v>
      </c>
      <c r="V21" s="7">
        <v>0.03</v>
      </c>
      <c r="W21" s="7">
        <v>0.22518723563767654</v>
      </c>
      <c r="X21" s="7">
        <v>2.2737367544323206E-13</v>
      </c>
      <c r="Y21" s="13" t="s">
        <v>111</v>
      </c>
      <c r="Z21" s="13" t="s">
        <v>102</v>
      </c>
      <c r="AA21" s="13" t="s">
        <v>112</v>
      </c>
      <c r="AB21" s="7">
        <v>-5438.6123163360126</v>
      </c>
      <c r="AC21" s="7">
        <v>-6961.1995050008709</v>
      </c>
    </row>
    <row r="22" spans="1:29" ht="30.75" customHeight="1">
      <c r="A22" s="3" t="s">
        <v>113</v>
      </c>
      <c r="B22" s="8">
        <v>0.25</v>
      </c>
      <c r="C22" s="10" t="s">
        <v>75</v>
      </c>
      <c r="D22" s="3">
        <v>10</v>
      </c>
      <c r="E22" s="6">
        <v>15485.996310237682</v>
      </c>
      <c r="F22" s="6">
        <v>4244.3163767441856</v>
      </c>
      <c r="G22" s="6">
        <v>1872.0539768799608</v>
      </c>
      <c r="H22" s="6">
        <v>2905.8734900205909</v>
      </c>
      <c r="I22" s="6">
        <v>2466.0836574373261</v>
      </c>
      <c r="J22" s="6">
        <v>2002.7728517889173</v>
      </c>
      <c r="K22" s="6">
        <v>14031.311930043259</v>
      </c>
      <c r="L22" s="6">
        <v>3229.4218291330253</v>
      </c>
      <c r="M22" s="6">
        <v>1633.834027892957</v>
      </c>
      <c r="N22" s="6">
        <v>1327.0290586776434</v>
      </c>
      <c r="O22" s="6">
        <v>999.6646610027625</v>
      </c>
      <c r="P22" s="6">
        <v>762.17559384027129</v>
      </c>
      <c r="Q22" s="6">
        <v>-907.82184863184716</v>
      </c>
      <c r="R22" s="6">
        <v>116.54208150046138</v>
      </c>
      <c r="S22" s="6">
        <v>447.78983258326355</v>
      </c>
      <c r="T22" s="6">
        <v>-8</v>
      </c>
      <c r="U22" s="6">
        <v>3538</v>
      </c>
      <c r="V22" s="6">
        <v>0.03</v>
      </c>
      <c r="W22" s="6">
        <v>0.22518723563767654</v>
      </c>
      <c r="X22" s="6">
        <v>9.0949470177292824E-13</v>
      </c>
      <c r="Y22" s="12" t="s">
        <v>114</v>
      </c>
      <c r="Z22" s="12" t="s">
        <v>102</v>
      </c>
      <c r="AA22" s="12" t="s">
        <v>115</v>
      </c>
      <c r="AB22" s="6">
        <v>-6672.5813131865434</v>
      </c>
      <c r="AC22" s="6">
        <v>-8185.6199918723114</v>
      </c>
    </row>
    <row r="23" spans="1:29" ht="30.75" customHeight="1">
      <c r="A23" s="5" t="s">
        <v>116</v>
      </c>
      <c r="B23" s="9">
        <v>0.25</v>
      </c>
      <c r="C23" s="11" t="s">
        <v>75</v>
      </c>
      <c r="D23" s="5">
        <v>15</v>
      </c>
      <c r="E23" s="7">
        <v>15485.996310237682</v>
      </c>
      <c r="F23" s="7">
        <v>4244.3163767441856</v>
      </c>
      <c r="G23" s="7">
        <v>1872.0539768799608</v>
      </c>
      <c r="H23" s="7">
        <v>3793.6331724692718</v>
      </c>
      <c r="I23" s="7">
        <v>3220.7308802393336</v>
      </c>
      <c r="J23" s="7">
        <v>1928.9349535685039</v>
      </c>
      <c r="K23" s="7">
        <v>14027.464178576078</v>
      </c>
      <c r="L23" s="7">
        <v>3358.6865373125192</v>
      </c>
      <c r="M23" s="7">
        <v>1668.9350351686896</v>
      </c>
      <c r="N23" s="7">
        <v>1283.04205874321</v>
      </c>
      <c r="O23" s="7">
        <v>949.99322017958252</v>
      </c>
      <c r="P23" s="7">
        <v>767.46080106335842</v>
      </c>
      <c r="Q23" s="7">
        <v>-942.92285590758001</v>
      </c>
      <c r="R23" s="7">
        <v>151.64308877619422</v>
      </c>
      <c r="S23" s="7">
        <v>584.90229222993685</v>
      </c>
      <c r="T23" s="7">
        <v>-12</v>
      </c>
      <c r="U23" s="7">
        <v>3597</v>
      </c>
      <c r="V23" s="7">
        <v>0.03</v>
      </c>
      <c r="W23" s="7">
        <v>0.22518723563767654</v>
      </c>
      <c r="X23" s="7">
        <v>2.2737367544323206E-13</v>
      </c>
      <c r="Y23" s="13" t="s">
        <v>117</v>
      </c>
      <c r="Z23" s="13" t="s">
        <v>102</v>
      </c>
      <c r="AA23" s="13" t="s">
        <v>118</v>
      </c>
      <c r="AB23" s="7">
        <v>-6391.2849623332677</v>
      </c>
      <c r="AC23" s="7">
        <v>-7874.1233697249127</v>
      </c>
    </row>
    <row r="24" spans="1:29" ht="30.75" customHeight="1">
      <c r="A24" s="3" t="s">
        <v>119</v>
      </c>
      <c r="B24" s="8">
        <v>0.25</v>
      </c>
      <c r="C24" s="10" t="s">
        <v>75</v>
      </c>
      <c r="D24" s="3">
        <v>20</v>
      </c>
      <c r="E24" s="6">
        <v>15485.996310237682</v>
      </c>
      <c r="F24" s="6">
        <v>4244.3163767441856</v>
      </c>
      <c r="G24" s="6">
        <v>1872.0539768799608</v>
      </c>
      <c r="H24" s="6">
        <v>4400.1517866433787</v>
      </c>
      <c r="I24" s="6">
        <v>3736.6293992396477</v>
      </c>
      <c r="J24" s="6">
        <v>1852.1605627686702</v>
      </c>
      <c r="K24" s="6">
        <v>13989.166735916544</v>
      </c>
      <c r="L24" s="6">
        <v>3411.0091898267788</v>
      </c>
      <c r="M24" s="6">
        <v>1681.8823320968522</v>
      </c>
      <c r="N24" s="6">
        <v>1268.7635362660001</v>
      </c>
      <c r="O24" s="6">
        <v>933.6018052468612</v>
      </c>
      <c r="P24" s="6">
        <v>786.85479258138116</v>
      </c>
      <c r="Q24" s="6">
        <v>-955.87015283574249</v>
      </c>
      <c r="R24" s="6">
        <v>164.59038570435661</v>
      </c>
      <c r="S24" s="6">
        <v>678.78357695934892</v>
      </c>
      <c r="T24" s="6">
        <v>-15.26118955561752</v>
      </c>
      <c r="U24" s="6">
        <v>3756</v>
      </c>
      <c r="V24" s="6">
        <v>0.03</v>
      </c>
      <c r="W24" s="6">
        <v>0.22518723563767654</v>
      </c>
      <c r="X24" s="6">
        <v>1.8189894035458565E-12</v>
      </c>
      <c r="Y24" s="12" t="s">
        <v>120</v>
      </c>
      <c r="Z24" s="12" t="s">
        <v>102</v>
      </c>
      <c r="AA24" s="12" t="s">
        <v>121</v>
      </c>
      <c r="AB24" s="6">
        <v>-6046.0051864588495</v>
      </c>
      <c r="AC24" s="6">
        <v>-7470.8549284505953</v>
      </c>
    </row>
    <row r="25" spans="1:29" ht="30.75" customHeight="1">
      <c r="A25" s="5" t="s">
        <v>122</v>
      </c>
      <c r="B25" s="9">
        <v>0.25</v>
      </c>
      <c r="C25" s="11" t="s">
        <v>75</v>
      </c>
      <c r="D25" s="5">
        <v>30</v>
      </c>
      <c r="E25" s="7">
        <v>15485.996310237682</v>
      </c>
      <c r="F25" s="7">
        <v>4244.3163767441856</v>
      </c>
      <c r="G25" s="7">
        <v>1872.0539768799608</v>
      </c>
      <c r="H25" s="7">
        <v>4969.0931973861043</v>
      </c>
      <c r="I25" s="7">
        <v>4222.7349775286375</v>
      </c>
      <c r="J25" s="7">
        <v>1815.8274665039621</v>
      </c>
      <c r="K25" s="7">
        <v>14005.914602054991</v>
      </c>
      <c r="L25" s="7">
        <v>3510.5928884189598</v>
      </c>
      <c r="M25" s="7">
        <v>1683.5507543466788</v>
      </c>
      <c r="N25" s="7">
        <v>1255.5487232099977</v>
      </c>
      <c r="O25" s="7">
        <v>911.16357686134734</v>
      </c>
      <c r="P25" s="7">
        <v>805.2913891963301</v>
      </c>
      <c r="Q25" s="7">
        <v>-957.53857508556916</v>
      </c>
      <c r="R25" s="7">
        <v>166.25880795418331</v>
      </c>
      <c r="S25" s="7">
        <v>767.61932942028375</v>
      </c>
      <c r="T25" s="7">
        <v>-21.261109562817392</v>
      </c>
      <c r="U25" s="7">
        <v>3809</v>
      </c>
      <c r="V25" s="7">
        <v>0.03</v>
      </c>
      <c r="W25" s="7">
        <v>0.22518723563767654</v>
      </c>
      <c r="X25" s="7">
        <v>9.0949470177292824E-13</v>
      </c>
      <c r="Y25" s="13" t="s">
        <v>123</v>
      </c>
      <c r="Z25" s="13" t="s">
        <v>102</v>
      </c>
      <c r="AA25" s="13" t="s">
        <v>124</v>
      </c>
      <c r="AB25" s="7">
        <v>-5757.5286051568346</v>
      </c>
      <c r="AC25" s="7">
        <v>-7136.4036489662358</v>
      </c>
    </row>
    <row r="26" spans="1:29" ht="30.75" customHeight="1">
      <c r="A26" s="3" t="s">
        <v>125</v>
      </c>
      <c r="B26" s="8">
        <v>0.25</v>
      </c>
      <c r="C26" s="10" t="s">
        <v>88</v>
      </c>
      <c r="D26" s="3">
        <v>10</v>
      </c>
      <c r="E26" s="6">
        <v>15485.996310237682</v>
      </c>
      <c r="F26" s="6">
        <v>4244.3163767441856</v>
      </c>
      <c r="G26" s="6">
        <v>2205.6120351222212</v>
      </c>
      <c r="H26" s="6">
        <v>3174.7968786714368</v>
      </c>
      <c r="I26" s="6">
        <v>2686.4706034461151</v>
      </c>
      <c r="J26" s="6">
        <v>1401.7178868769868</v>
      </c>
      <c r="K26" s="6">
        <v>12475.726286176403</v>
      </c>
      <c r="L26" s="6">
        <v>1722.3726279082252</v>
      </c>
      <c r="M26" s="6">
        <v>1712.2276888178608</v>
      </c>
      <c r="N26" s="6">
        <v>975.97159806680384</v>
      </c>
      <c r="O26" s="6">
        <v>813.91822596695056</v>
      </c>
      <c r="P26" s="6">
        <v>425.79744326922071</v>
      </c>
      <c r="Q26" s="6">
        <v>-986.21550955675127</v>
      </c>
      <c r="R26" s="6">
        <v>194.9357424253655</v>
      </c>
      <c r="S26" s="6">
        <v>488.3262752253205</v>
      </c>
      <c r="T26" s="6">
        <v>0</v>
      </c>
      <c r="U26" s="6">
        <v>3918</v>
      </c>
      <c r="V26" s="6">
        <v>0.03</v>
      </c>
      <c r="W26" s="6">
        <v>0.22518723563767654</v>
      </c>
      <c r="X26" s="6">
        <v>1.8189894035458565E-12</v>
      </c>
      <c r="Y26" s="12" t="s">
        <v>126</v>
      </c>
      <c r="Z26" s="12" t="s">
        <v>102</v>
      </c>
      <c r="AA26" s="12" t="s">
        <v>127</v>
      </c>
      <c r="AB26" s="6">
        <v>-4582.3265433706838</v>
      </c>
      <c r="AC26" s="6">
        <v>-6070.2621796958019</v>
      </c>
    </row>
    <row r="27" spans="1:29" ht="30.75" customHeight="1">
      <c r="A27" s="5" t="s">
        <v>128</v>
      </c>
      <c r="B27" s="9">
        <v>0.25</v>
      </c>
      <c r="C27" s="11" t="s">
        <v>88</v>
      </c>
      <c r="D27" s="5">
        <v>15</v>
      </c>
      <c r="E27" s="7">
        <v>15485.996310237682</v>
      </c>
      <c r="F27" s="7">
        <v>4244.3163767441856</v>
      </c>
      <c r="G27" s="7">
        <v>2205.6120351222212</v>
      </c>
      <c r="H27" s="7">
        <v>4334.0686016305735</v>
      </c>
      <c r="I27" s="7">
        <v>3667.29095062442</v>
      </c>
      <c r="J27" s="7">
        <v>1362.9558342292441</v>
      </c>
      <c r="K27" s="7">
        <v>12513.658203742114</v>
      </c>
      <c r="L27" s="7">
        <v>1938.7559212547712</v>
      </c>
      <c r="M27" s="7">
        <v>1764.3315994581344</v>
      </c>
      <c r="N27" s="7">
        <v>945.29750645417084</v>
      </c>
      <c r="O27" s="7">
        <v>781.83230152151327</v>
      </c>
      <c r="P27" s="7">
        <v>459.326113760711</v>
      </c>
      <c r="Q27" s="7">
        <v>-1038.3194201970246</v>
      </c>
      <c r="R27" s="7">
        <v>247.03965306563876</v>
      </c>
      <c r="S27" s="7">
        <v>666.77765100615397</v>
      </c>
      <c r="T27" s="7">
        <v>0</v>
      </c>
      <c r="U27" s="7">
        <v>3813</v>
      </c>
      <c r="V27" s="7">
        <v>0.03</v>
      </c>
      <c r="W27" s="7">
        <v>0.22518723563767654</v>
      </c>
      <c r="X27" s="7">
        <v>1.8189894035458565E-12</v>
      </c>
      <c r="Y27" s="13" t="s">
        <v>129</v>
      </c>
      <c r="Z27" s="13" t="s">
        <v>102</v>
      </c>
      <c r="AA27" s="13" t="s">
        <v>130</v>
      </c>
      <c r="AB27" s="7">
        <v>-4516.0375062333142</v>
      </c>
      <c r="AC27" s="7">
        <v>-5969.6569508890134</v>
      </c>
    </row>
    <row r="28" spans="1:29" ht="30.75" customHeight="1">
      <c r="A28" s="3" t="s">
        <v>131</v>
      </c>
      <c r="B28" s="8">
        <v>0.25</v>
      </c>
      <c r="C28" s="10" t="s">
        <v>88</v>
      </c>
      <c r="D28" s="3">
        <v>20</v>
      </c>
      <c r="E28" s="6">
        <v>15485.996310237682</v>
      </c>
      <c r="F28" s="6">
        <v>4244.3163767441856</v>
      </c>
      <c r="G28" s="6">
        <v>2205.6120351222212</v>
      </c>
      <c r="H28" s="6">
        <v>5142.7784768263919</v>
      </c>
      <c r="I28" s="6">
        <v>4351.3084503387636</v>
      </c>
      <c r="J28" s="6">
        <v>1347.5186174233659</v>
      </c>
      <c r="K28" s="6">
        <v>12778.659351101049</v>
      </c>
      <c r="L28" s="6">
        <v>2328.4494440951785</v>
      </c>
      <c r="M28" s="6">
        <v>1794.3910113132347</v>
      </c>
      <c r="N28" s="6">
        <v>933.37750663495967</v>
      </c>
      <c r="O28" s="6">
        <v>761.13905254088115</v>
      </c>
      <c r="P28" s="6">
        <v>492.1879351888046</v>
      </c>
      <c r="Q28" s="6">
        <v>-1068.3788320521253</v>
      </c>
      <c r="R28" s="6">
        <v>277.09906492073935</v>
      </c>
      <c r="S28" s="6">
        <v>791.47002648762236</v>
      </c>
      <c r="T28" s="6">
        <v>0</v>
      </c>
      <c r="U28" s="6">
        <v>3907</v>
      </c>
      <c r="V28" s="6">
        <v>0.03</v>
      </c>
      <c r="W28" s="6">
        <v>0.22518723563767654</v>
      </c>
      <c r="X28" s="6">
        <v>9.0949470177292824E-13</v>
      </c>
      <c r="Y28" s="12" t="s">
        <v>132</v>
      </c>
      <c r="Z28" s="12" t="s">
        <v>102</v>
      </c>
      <c r="AA28" s="12" t="s">
        <v>133</v>
      </c>
      <c r="AB28" s="6">
        <v>-4548.1663334432615</v>
      </c>
      <c r="AC28" s="6">
        <v>-6002.5072727544257</v>
      </c>
    </row>
    <row r="29" spans="1:29" ht="30.75" customHeight="1">
      <c r="A29" s="5" t="s">
        <v>134</v>
      </c>
      <c r="B29" s="9">
        <v>0.25</v>
      </c>
      <c r="C29" s="11" t="s">
        <v>88</v>
      </c>
      <c r="D29" s="5">
        <v>30</v>
      </c>
      <c r="E29" s="7">
        <v>15485.996310237682</v>
      </c>
      <c r="F29" s="7">
        <v>4244.3163767441856</v>
      </c>
      <c r="G29" s="7">
        <v>2205.6120351222212</v>
      </c>
      <c r="H29" s="7">
        <v>5717.5564487412867</v>
      </c>
      <c r="I29" s="7">
        <v>4836.5801400844557</v>
      </c>
      <c r="J29" s="7">
        <v>1343.0333954526727</v>
      </c>
      <c r="K29" s="7">
        <v>13148.396737202271</v>
      </c>
      <c r="L29" s="7">
        <v>2787.6931123656041</v>
      </c>
      <c r="M29" s="7">
        <v>1814.0115676091064</v>
      </c>
      <c r="N29" s="7">
        <v>926.76153281480128</v>
      </c>
      <c r="O29" s="7">
        <v>744.98368817860467</v>
      </c>
      <c r="P29" s="7">
        <v>517.37345121846374</v>
      </c>
      <c r="Q29" s="7">
        <v>-1087.9993883479965</v>
      </c>
      <c r="R29" s="7">
        <v>296.71962121661068</v>
      </c>
      <c r="S29" s="7">
        <v>880.9763086568347</v>
      </c>
      <c r="T29" s="7">
        <v>0</v>
      </c>
      <c r="U29" s="7">
        <v>3869</v>
      </c>
      <c r="V29" s="7">
        <v>0.03</v>
      </c>
      <c r="W29" s="7">
        <v>0.22518723563767654</v>
      </c>
      <c r="X29" s="7">
        <v>2.2737367544323206E-13</v>
      </c>
      <c r="Y29" s="13" t="s">
        <v>135</v>
      </c>
      <c r="Z29" s="13" t="s">
        <v>102</v>
      </c>
      <c r="AA29" s="13" t="s">
        <v>136</v>
      </c>
      <c r="AB29" s="7">
        <v>-4825.8548360830346</v>
      </c>
      <c r="AC29" s="7">
        <v>-6325.3937707421128</v>
      </c>
    </row>
    <row r="30" spans="1:29" ht="30.75" customHeight="1">
      <c r="A30" s="3" t="s">
        <v>137</v>
      </c>
      <c r="B30" s="8">
        <v>0.3</v>
      </c>
      <c r="C30" s="10" t="s">
        <v>61</v>
      </c>
      <c r="D30" s="3">
        <v>10</v>
      </c>
      <c r="E30" s="6">
        <v>15485.996310237682</v>
      </c>
      <c r="F30" s="6">
        <v>4244.3163767441856</v>
      </c>
      <c r="G30" s="6">
        <v>1923.8859097032764</v>
      </c>
      <c r="H30" s="6">
        <v>921.62617489032073</v>
      </c>
      <c r="I30" s="6">
        <v>778.64800752064423</v>
      </c>
      <c r="J30" s="6">
        <v>1541.7824595202653</v>
      </c>
      <c r="K30" s="6">
        <v>12640.484225644086</v>
      </c>
      <c r="L30" s="6">
        <v>1541.7824595202653</v>
      </c>
      <c r="M30" s="6">
        <v>1605.8992310684807</v>
      </c>
      <c r="N30" s="6">
        <v>1214.9976622452259</v>
      </c>
      <c r="O30" s="6">
        <v>1046.0747102112703</v>
      </c>
      <c r="P30" s="6">
        <v>483.05529065054407</v>
      </c>
      <c r="Q30" s="6">
        <v>-822.94863400146994</v>
      </c>
      <c r="R30" s="6">
        <v>31.668866870084166</v>
      </c>
      <c r="S30" s="6">
        <v>142.77768970582196</v>
      </c>
      <c r="T30" s="6">
        <v>0.20047766385397736</v>
      </c>
      <c r="U30" s="6">
        <v>3364</v>
      </c>
      <c r="V30" s="6">
        <v>0.03</v>
      </c>
      <c r="W30" s="6">
        <v>0.24941278573324835</v>
      </c>
      <c r="X30" s="6">
        <v>1.8189894035458565E-12</v>
      </c>
      <c r="Y30" s="12" t="s">
        <v>138</v>
      </c>
      <c r="Z30" s="12" t="s">
        <v>139</v>
      </c>
      <c r="AA30" s="12" t="s">
        <v>140</v>
      </c>
      <c r="AB30" s="6">
        <v>-6725.9010116407735</v>
      </c>
      <c r="AC30" s="6">
        <v>-8245.7511217011961</v>
      </c>
    </row>
    <row r="31" spans="1:29" ht="30.75" customHeight="1">
      <c r="A31" s="5" t="s">
        <v>141</v>
      </c>
      <c r="B31" s="9">
        <v>0.3</v>
      </c>
      <c r="C31" s="11" t="s">
        <v>61</v>
      </c>
      <c r="D31" s="5">
        <v>15</v>
      </c>
      <c r="E31" s="7">
        <v>15485.996310237682</v>
      </c>
      <c r="F31" s="7">
        <v>4244.3163767441856</v>
      </c>
      <c r="G31" s="7">
        <v>1923.8859097032764</v>
      </c>
      <c r="H31" s="7">
        <v>927.82170269086146</v>
      </c>
      <c r="I31" s="7">
        <v>782.71120468596337</v>
      </c>
      <c r="J31" s="7">
        <v>1537.7192623549463</v>
      </c>
      <c r="K31" s="7">
        <v>12634.288697843545</v>
      </c>
      <c r="L31" s="7">
        <v>1537.7192623549463</v>
      </c>
      <c r="M31" s="7">
        <v>1605.6474161534384</v>
      </c>
      <c r="N31" s="7">
        <v>1214.157338899965</v>
      </c>
      <c r="O31" s="7">
        <v>1045.8560526716556</v>
      </c>
      <c r="P31" s="7">
        <v>482.52272905425889</v>
      </c>
      <c r="Q31" s="7">
        <v>-822.69681908642769</v>
      </c>
      <c r="R31" s="7">
        <v>31.417051955041931</v>
      </c>
      <c r="S31" s="7">
        <v>144.41083027624637</v>
      </c>
      <c r="T31" s="7">
        <v>0.69966772865095272</v>
      </c>
      <c r="U31" s="7">
        <v>3361</v>
      </c>
      <c r="V31" s="7">
        <v>0.03</v>
      </c>
      <c r="W31" s="7">
        <v>0.24941278573324835</v>
      </c>
      <c r="X31" s="7">
        <v>1.8189894035458565E-12</v>
      </c>
      <c r="Y31" s="13" t="s">
        <v>142</v>
      </c>
      <c r="Z31" s="13" t="s">
        <v>139</v>
      </c>
      <c r="AA31" s="13" t="s">
        <v>143</v>
      </c>
      <c r="AB31" s="7">
        <v>-6724.4988257979512</v>
      </c>
      <c r="AC31" s="7">
        <v>-8244.0846131045964</v>
      </c>
    </row>
    <row r="32" spans="1:29" ht="30.75" customHeight="1">
      <c r="A32" s="3" t="s">
        <v>144</v>
      </c>
      <c r="B32" s="8">
        <v>0.3</v>
      </c>
      <c r="C32" s="10" t="s">
        <v>61</v>
      </c>
      <c r="D32" s="3">
        <v>20</v>
      </c>
      <c r="E32" s="6">
        <v>15485.996310237682</v>
      </c>
      <c r="F32" s="6">
        <v>4244.3163767441856</v>
      </c>
      <c r="G32" s="6">
        <v>1923.8859097032764</v>
      </c>
      <c r="H32" s="6">
        <v>929.22093513967639</v>
      </c>
      <c r="I32" s="6">
        <v>782.71120468596337</v>
      </c>
      <c r="J32" s="6">
        <v>1537.7192623549463</v>
      </c>
      <c r="K32" s="6">
        <v>12632.889465394732</v>
      </c>
      <c r="L32" s="6">
        <v>1537.7192623549463</v>
      </c>
      <c r="M32" s="6">
        <v>1605.5376622490458</v>
      </c>
      <c r="N32" s="6">
        <v>1214.0607158246289</v>
      </c>
      <c r="O32" s="6">
        <v>1045.7594295963195</v>
      </c>
      <c r="P32" s="6">
        <v>482.46808295238748</v>
      </c>
      <c r="Q32" s="6">
        <v>-822.58706518203508</v>
      </c>
      <c r="R32" s="6">
        <v>31.307298050649251</v>
      </c>
      <c r="S32" s="6">
        <v>145.31087266026384</v>
      </c>
      <c r="T32" s="6">
        <v>1.1988577934479316</v>
      </c>
      <c r="U32" s="6">
        <v>3360</v>
      </c>
      <c r="V32" s="6">
        <v>0.03</v>
      </c>
      <c r="W32" s="6">
        <v>0.24941278573324835</v>
      </c>
      <c r="X32" s="6">
        <v>2.2737367544323206E-13</v>
      </c>
      <c r="Y32" s="12" t="s">
        <v>145</v>
      </c>
      <c r="Z32" s="12" t="s">
        <v>139</v>
      </c>
      <c r="AA32" s="12" t="s">
        <v>146</v>
      </c>
      <c r="AB32" s="6">
        <v>-6723.9475598909257</v>
      </c>
      <c r="AC32" s="6">
        <v>-8243.3839419286833</v>
      </c>
    </row>
    <row r="33" spans="1:29" ht="30.75" customHeight="1">
      <c r="A33" s="5" t="s">
        <v>147</v>
      </c>
      <c r="B33" s="9">
        <v>0.3</v>
      </c>
      <c r="C33" s="11" t="s">
        <v>61</v>
      </c>
      <c r="D33" s="5">
        <v>30</v>
      </c>
      <c r="E33" s="7">
        <v>15485.996310237682</v>
      </c>
      <c r="F33" s="7">
        <v>4244.3163767441856</v>
      </c>
      <c r="G33" s="7">
        <v>1923.8859097032764</v>
      </c>
      <c r="H33" s="7">
        <v>932.01939165345914</v>
      </c>
      <c r="I33" s="7">
        <v>782.71120468596337</v>
      </c>
      <c r="J33" s="7">
        <v>1537.7192623549463</v>
      </c>
      <c r="K33" s="7">
        <v>12630.091008880949</v>
      </c>
      <c r="L33" s="7">
        <v>1537.7192623549463</v>
      </c>
      <c r="M33" s="7">
        <v>1605.3111981401003</v>
      </c>
      <c r="N33" s="7">
        <v>1213.8657924678994</v>
      </c>
      <c r="O33" s="7">
        <v>1045.5645062395897</v>
      </c>
      <c r="P33" s="7">
        <v>482.35711329107107</v>
      </c>
      <c r="Q33" s="7">
        <v>-822.36060107308936</v>
      </c>
      <c r="R33" s="7">
        <v>31.080833941703631</v>
      </c>
      <c r="S33" s="7">
        <v>147.11094904445218</v>
      </c>
      <c r="T33" s="7">
        <v>2.1972379230418824</v>
      </c>
      <c r="U33" s="7">
        <v>3360</v>
      </c>
      <c r="V33" s="7">
        <v>0.03</v>
      </c>
      <c r="W33" s="7">
        <v>0.24941278573324835</v>
      </c>
      <c r="X33" s="7">
        <v>1.8189894035458565E-12</v>
      </c>
      <c r="Y33" s="13" t="s">
        <v>148</v>
      </c>
      <c r="Z33" s="13" t="s">
        <v>139</v>
      </c>
      <c r="AA33" s="13" t="s">
        <v>149</v>
      </c>
      <c r="AB33" s="7">
        <v>-6722.7346494309468</v>
      </c>
      <c r="AC33" s="7">
        <v>-8241.8648409275629</v>
      </c>
    </row>
    <row r="34" spans="1:29" ht="30.75" customHeight="1">
      <c r="A34" s="3" t="s">
        <v>150</v>
      </c>
      <c r="B34" s="8">
        <v>0.3</v>
      </c>
      <c r="C34" s="10" t="s">
        <v>75</v>
      </c>
      <c r="D34" s="3">
        <v>10</v>
      </c>
      <c r="E34" s="6">
        <v>15485.996310237682</v>
      </c>
      <c r="F34" s="6">
        <v>4244.3163767441856</v>
      </c>
      <c r="G34" s="6">
        <v>1923.8859097032764</v>
      </c>
      <c r="H34" s="6">
        <v>2905.8619183940923</v>
      </c>
      <c r="I34" s="6">
        <v>2466.0742246866475</v>
      </c>
      <c r="J34" s="6">
        <v>1984.4060042860983</v>
      </c>
      <c r="K34" s="6">
        <v>14014.408420751439</v>
      </c>
      <c r="L34" s="6">
        <v>3212.5161809653873</v>
      </c>
      <c r="M34" s="6">
        <v>1690.985110424333</v>
      </c>
      <c r="N34" s="6">
        <v>1381.518696213411</v>
      </c>
      <c r="O34" s="6">
        <v>1056.903916375411</v>
      </c>
      <c r="P34" s="6">
        <v>759.72618343882255</v>
      </c>
      <c r="Q34" s="6">
        <v>-908.03451335732234</v>
      </c>
      <c r="R34" s="6">
        <v>116.75474622593649</v>
      </c>
      <c r="S34" s="6">
        <v>447.78769370744408</v>
      </c>
      <c r="T34" s="6">
        <v>-8</v>
      </c>
      <c r="U34" s="6">
        <v>3533</v>
      </c>
      <c r="V34" s="6">
        <v>0.03</v>
      </c>
      <c r="W34" s="6">
        <v>0.24941278573324835</v>
      </c>
      <c r="X34" s="6">
        <v>1.8189894035458565E-12</v>
      </c>
      <c r="Y34" s="12" t="s">
        <v>151</v>
      </c>
      <c r="Z34" s="12" t="s">
        <v>139</v>
      </c>
      <c r="AA34" s="12" t="s">
        <v>152</v>
      </c>
      <c r="AB34" s="6">
        <v>-8181.2014971319231</v>
      </c>
      <c r="AC34" s="6">
        <v>-9693.9469371655978</v>
      </c>
    </row>
    <row r="35" spans="1:29" ht="30.75" customHeight="1">
      <c r="A35" s="5" t="s">
        <v>153</v>
      </c>
      <c r="B35" s="9">
        <v>0.3</v>
      </c>
      <c r="C35" s="11" t="s">
        <v>75</v>
      </c>
      <c r="D35" s="5">
        <v>15</v>
      </c>
      <c r="E35" s="7">
        <v>15485.996310237682</v>
      </c>
      <c r="F35" s="7">
        <v>4244.3163767441856</v>
      </c>
      <c r="G35" s="7">
        <v>1923.8859097032764</v>
      </c>
      <c r="H35" s="7">
        <v>3793.6215802652987</v>
      </c>
      <c r="I35" s="7">
        <v>3220.7214476773102</v>
      </c>
      <c r="J35" s="7">
        <v>1913.5460864434572</v>
      </c>
      <c r="K35" s="7">
        <v>14013.549994661666</v>
      </c>
      <c r="L35" s="7">
        <v>3344.770193756156</v>
      </c>
      <c r="M35" s="7">
        <v>1726.0905501079701</v>
      </c>
      <c r="N35" s="7">
        <v>1337.8930945844331</v>
      </c>
      <c r="O35" s="7">
        <v>1007.0495824029726</v>
      </c>
      <c r="P35" s="7">
        <v>765.37278835570044</v>
      </c>
      <c r="Q35" s="7">
        <v>-943.1399530409592</v>
      </c>
      <c r="R35" s="7">
        <v>151.8601859095736</v>
      </c>
      <c r="S35" s="7">
        <v>584.90013258798717</v>
      </c>
      <c r="T35" s="7">
        <v>-12</v>
      </c>
      <c r="U35" s="7">
        <v>3595</v>
      </c>
      <c r="V35" s="7">
        <v>0.03</v>
      </c>
      <c r="W35" s="7">
        <v>0.24941278573324835</v>
      </c>
      <c r="X35" s="7">
        <v>1.8189894035458565E-12</v>
      </c>
      <c r="Y35" s="13" t="s">
        <v>154</v>
      </c>
      <c r="Z35" s="13" t="s">
        <v>139</v>
      </c>
      <c r="AA35" s="13" t="s">
        <v>155</v>
      </c>
      <c r="AB35" s="7">
        <v>-7844.9080514663947</v>
      </c>
      <c r="AC35" s="7">
        <v>-9327.4538193924582</v>
      </c>
    </row>
    <row r="36" spans="1:29" ht="30.75" customHeight="1">
      <c r="A36" s="3" t="s">
        <v>156</v>
      </c>
      <c r="B36" s="8">
        <v>0.3</v>
      </c>
      <c r="C36" s="10" t="s">
        <v>75</v>
      </c>
      <c r="D36" s="3">
        <v>20</v>
      </c>
      <c r="E36" s="6">
        <v>15485.996310237682</v>
      </c>
      <c r="F36" s="6">
        <v>4244.3163767441856</v>
      </c>
      <c r="G36" s="6">
        <v>1923.8859097032764</v>
      </c>
      <c r="H36" s="6">
        <v>4400.1275726026361</v>
      </c>
      <c r="I36" s="6">
        <v>3736.6093135654987</v>
      </c>
      <c r="J36" s="6">
        <v>1837.3158326395587</v>
      </c>
      <c r="K36" s="6">
        <v>13975.883083768873</v>
      </c>
      <c r="L36" s="6">
        <v>3397.7214093125122</v>
      </c>
      <c r="M36" s="6">
        <v>1739.0422640412212</v>
      </c>
      <c r="N36" s="6">
        <v>1323.7085522216421</v>
      </c>
      <c r="O36" s="6">
        <v>990.65753081635535</v>
      </c>
      <c r="P36" s="6">
        <v>784.86006173967553</v>
      </c>
      <c r="Q36" s="6">
        <v>-956.09166697421051</v>
      </c>
      <c r="R36" s="6">
        <v>164.81189984282469</v>
      </c>
      <c r="S36" s="6">
        <v>678.77944859275453</v>
      </c>
      <c r="T36" s="6">
        <v>-15.26118955561752</v>
      </c>
      <c r="U36" s="6">
        <v>3753</v>
      </c>
      <c r="V36" s="6">
        <v>0.03</v>
      </c>
      <c r="W36" s="6">
        <v>0.24941278573324835</v>
      </c>
      <c r="X36" s="6">
        <v>1.8189894035458565E-12</v>
      </c>
      <c r="Y36" s="12" t="s">
        <v>157</v>
      </c>
      <c r="Z36" s="12" t="s">
        <v>139</v>
      </c>
      <c r="AA36" s="12" t="s">
        <v>158</v>
      </c>
      <c r="AB36" s="6">
        <v>-7427.6867675731573</v>
      </c>
      <c r="AC36" s="6">
        <v>-8852.2211699223117</v>
      </c>
    </row>
    <row r="37" spans="1:29" ht="30.75" customHeight="1">
      <c r="A37" s="5" t="s">
        <v>159</v>
      </c>
      <c r="B37" s="9">
        <v>0.3</v>
      </c>
      <c r="C37" s="11" t="s">
        <v>75</v>
      </c>
      <c r="D37" s="5">
        <v>30</v>
      </c>
      <c r="E37" s="7">
        <v>15485.996310237682</v>
      </c>
      <c r="F37" s="7">
        <v>4244.3163767441856</v>
      </c>
      <c r="G37" s="7">
        <v>1923.8859097032764</v>
      </c>
      <c r="H37" s="7">
        <v>4969.0689508416735</v>
      </c>
      <c r="I37" s="7">
        <v>4222.714891527603</v>
      </c>
      <c r="J37" s="7">
        <v>1800.8967601194397</v>
      </c>
      <c r="K37" s="7">
        <v>13992.568576878908</v>
      </c>
      <c r="L37" s="7">
        <v>3497.2427026994837</v>
      </c>
      <c r="M37" s="7">
        <v>1740.7135276604936</v>
      </c>
      <c r="N37" s="7">
        <v>1310.530948056831</v>
      </c>
      <c r="O37" s="7">
        <v>968.26230892192234</v>
      </c>
      <c r="P37" s="7">
        <v>803.3338662608985</v>
      </c>
      <c r="Q37" s="7">
        <v>-957.76293059348291</v>
      </c>
      <c r="R37" s="7">
        <v>166.48316346209714</v>
      </c>
      <c r="S37" s="7">
        <v>767.6151688768889</v>
      </c>
      <c r="T37" s="7">
        <v>-21.261109562817392</v>
      </c>
      <c r="U37" s="7">
        <v>3808</v>
      </c>
      <c r="V37" s="7">
        <v>0.03</v>
      </c>
      <c r="W37" s="7">
        <v>0.24941278573324835</v>
      </c>
      <c r="X37" s="7">
        <v>1.8189894035458565E-12</v>
      </c>
      <c r="Y37" s="13" t="s">
        <v>160</v>
      </c>
      <c r="Z37" s="13" t="s">
        <v>139</v>
      </c>
      <c r="AA37" s="13" t="s">
        <v>161</v>
      </c>
      <c r="AB37" s="7">
        <v>-7080.0039236360171</v>
      </c>
      <c r="AC37" s="7">
        <v>-8458.5161225205884</v>
      </c>
    </row>
    <row r="38" spans="1:29" ht="30.75" customHeight="1">
      <c r="A38" s="3" t="s">
        <v>162</v>
      </c>
      <c r="B38" s="8">
        <v>0.3</v>
      </c>
      <c r="C38" s="10" t="s">
        <v>88</v>
      </c>
      <c r="D38" s="3">
        <v>10</v>
      </c>
      <c r="E38" s="6">
        <v>15485.996310237682</v>
      </c>
      <c r="F38" s="6">
        <v>4244.3163767441856</v>
      </c>
      <c r="G38" s="6">
        <v>2205.6120351222212</v>
      </c>
      <c r="H38" s="6">
        <v>3174.7968786714368</v>
      </c>
      <c r="I38" s="6">
        <v>2686.4706034461151</v>
      </c>
      <c r="J38" s="6">
        <v>1401.7178868769868</v>
      </c>
      <c r="K38" s="6">
        <v>12475.726286176403</v>
      </c>
      <c r="L38" s="6">
        <v>1722.3726279082252</v>
      </c>
      <c r="M38" s="6">
        <v>1769.1661066237621</v>
      </c>
      <c r="N38" s="6">
        <v>1032.9100158727051</v>
      </c>
      <c r="O38" s="6">
        <v>870.85664377285161</v>
      </c>
      <c r="P38" s="6">
        <v>425.79744326922071</v>
      </c>
      <c r="Q38" s="6">
        <v>-986.21550955675127</v>
      </c>
      <c r="R38" s="6">
        <v>194.9357424253655</v>
      </c>
      <c r="S38" s="6">
        <v>488.3262752253205</v>
      </c>
      <c r="T38" s="6">
        <v>0</v>
      </c>
      <c r="U38" s="6">
        <v>3918</v>
      </c>
      <c r="V38" s="6">
        <v>0.03</v>
      </c>
      <c r="W38" s="6">
        <v>0.24941278573324835</v>
      </c>
      <c r="X38" s="6">
        <v>1.8189894035458565E-12</v>
      </c>
      <c r="Y38" s="12" t="s">
        <v>163</v>
      </c>
      <c r="Z38" s="12" t="s">
        <v>139</v>
      </c>
      <c r="AA38" s="12" t="s">
        <v>164</v>
      </c>
      <c r="AB38" s="6">
        <v>-5711.5527012332623</v>
      </c>
      <c r="AC38" s="6">
        <v>-7199.4883375583777</v>
      </c>
    </row>
    <row r="39" spans="1:29" ht="30.75" customHeight="1">
      <c r="A39" s="5" t="s">
        <v>165</v>
      </c>
      <c r="B39" s="9">
        <v>0.3</v>
      </c>
      <c r="C39" s="11" t="s">
        <v>88</v>
      </c>
      <c r="D39" s="5">
        <v>15</v>
      </c>
      <c r="E39" s="7">
        <v>15485.996310237682</v>
      </c>
      <c r="F39" s="7">
        <v>4244.3163767441856</v>
      </c>
      <c r="G39" s="7">
        <v>2205.6120351222212</v>
      </c>
      <c r="H39" s="7">
        <v>4334.0686016305735</v>
      </c>
      <c r="I39" s="7">
        <v>3667.29095062442</v>
      </c>
      <c r="J39" s="7">
        <v>1362.9558342292441</v>
      </c>
      <c r="K39" s="7">
        <v>12513.658203742114</v>
      </c>
      <c r="L39" s="7">
        <v>1938.7559212547712</v>
      </c>
      <c r="M39" s="7">
        <v>1821.2700172640352</v>
      </c>
      <c r="N39" s="7">
        <v>1002.2359242600719</v>
      </c>
      <c r="O39" s="7">
        <v>838.77071932741433</v>
      </c>
      <c r="P39" s="7">
        <v>459.326113760711</v>
      </c>
      <c r="Q39" s="7">
        <v>-1038.3194201970246</v>
      </c>
      <c r="R39" s="7">
        <v>247.03965306563876</v>
      </c>
      <c r="S39" s="7">
        <v>666.77765100615397</v>
      </c>
      <c r="T39" s="7">
        <v>0</v>
      </c>
      <c r="U39" s="7">
        <v>3813</v>
      </c>
      <c r="V39" s="7">
        <v>0.03</v>
      </c>
      <c r="W39" s="7">
        <v>0.24941278573324835</v>
      </c>
      <c r="X39" s="7">
        <v>1.8189894035458565E-12</v>
      </c>
      <c r="Y39" s="13" t="s">
        <v>166</v>
      </c>
      <c r="Z39" s="13" t="s">
        <v>139</v>
      </c>
      <c r="AA39" s="13" t="s">
        <v>167</v>
      </c>
      <c r="AB39" s="7">
        <v>-5627.2186360914475</v>
      </c>
      <c r="AC39" s="7">
        <v>-7080.8380807471458</v>
      </c>
    </row>
    <row r="40" spans="1:29" ht="30.75" customHeight="1">
      <c r="A40" s="3" t="s">
        <v>168</v>
      </c>
      <c r="B40" s="8">
        <v>0.3</v>
      </c>
      <c r="C40" s="10" t="s">
        <v>88</v>
      </c>
      <c r="D40" s="3">
        <v>20</v>
      </c>
      <c r="E40" s="6">
        <v>15485.996310237682</v>
      </c>
      <c r="F40" s="6">
        <v>4244.3163767441856</v>
      </c>
      <c r="G40" s="6">
        <v>2205.6120351222212</v>
      </c>
      <c r="H40" s="6">
        <v>5142.7784768263919</v>
      </c>
      <c r="I40" s="6">
        <v>4351.3084503387636</v>
      </c>
      <c r="J40" s="6">
        <v>1347.5186174233659</v>
      </c>
      <c r="K40" s="6">
        <v>12778.659351101049</v>
      </c>
      <c r="L40" s="6">
        <v>2328.4494440951785</v>
      </c>
      <c r="M40" s="6">
        <v>1851.3294291191357</v>
      </c>
      <c r="N40" s="6">
        <v>990.31592444086073</v>
      </c>
      <c r="O40" s="6">
        <v>818.07747034678221</v>
      </c>
      <c r="P40" s="6">
        <v>492.1879351888046</v>
      </c>
      <c r="Q40" s="6">
        <v>-1068.3788320521253</v>
      </c>
      <c r="R40" s="6">
        <v>277.09906492073935</v>
      </c>
      <c r="S40" s="6">
        <v>791.47002648762236</v>
      </c>
      <c r="T40" s="6">
        <v>0</v>
      </c>
      <c r="U40" s="6">
        <v>3907</v>
      </c>
      <c r="V40" s="6">
        <v>0.03</v>
      </c>
      <c r="W40" s="6">
        <v>0.24941278573324835</v>
      </c>
      <c r="X40" s="6">
        <v>9.0949470177292824E-13</v>
      </c>
      <c r="Y40" s="12" t="s">
        <v>169</v>
      </c>
      <c r="Z40" s="12" t="s">
        <v>139</v>
      </c>
      <c r="AA40" s="12" t="s">
        <v>170</v>
      </c>
      <c r="AB40" s="6">
        <v>-5666.1613290832738</v>
      </c>
      <c r="AC40" s="6">
        <v>-7120.5022683944371</v>
      </c>
    </row>
    <row r="41" spans="1:29" ht="30.75" customHeight="1">
      <c r="A41" s="5" t="s">
        <v>171</v>
      </c>
      <c r="B41" s="9">
        <v>0.3</v>
      </c>
      <c r="C41" s="11" t="s">
        <v>88</v>
      </c>
      <c r="D41" s="5">
        <v>30</v>
      </c>
      <c r="E41" s="7">
        <v>15485.996310237682</v>
      </c>
      <c r="F41" s="7">
        <v>4244.3163767441856</v>
      </c>
      <c r="G41" s="7">
        <v>2205.6120351222212</v>
      </c>
      <c r="H41" s="7">
        <v>5717.5564487412867</v>
      </c>
      <c r="I41" s="7">
        <v>4836.5801400844557</v>
      </c>
      <c r="J41" s="7">
        <v>1343.0333954526727</v>
      </c>
      <c r="K41" s="7">
        <v>13148.396737202271</v>
      </c>
      <c r="L41" s="7">
        <v>2787.6931123656041</v>
      </c>
      <c r="M41" s="7">
        <v>1870.9499854150072</v>
      </c>
      <c r="N41" s="7">
        <v>983.69995062070234</v>
      </c>
      <c r="O41" s="7">
        <v>801.92210598450561</v>
      </c>
      <c r="P41" s="7">
        <v>517.37345121846374</v>
      </c>
      <c r="Q41" s="7">
        <v>-1087.9993883479965</v>
      </c>
      <c r="R41" s="7">
        <v>296.71962121661068</v>
      </c>
      <c r="S41" s="7">
        <v>880.9763086568347</v>
      </c>
      <c r="T41" s="7">
        <v>0</v>
      </c>
      <c r="U41" s="7">
        <v>3869</v>
      </c>
      <c r="V41" s="7">
        <v>0.03</v>
      </c>
      <c r="W41" s="7">
        <v>0.24941278573324835</v>
      </c>
      <c r="X41" s="7">
        <v>9.0949470177292824E-13</v>
      </c>
      <c r="Y41" s="13" t="s">
        <v>172</v>
      </c>
      <c r="Z41" s="13" t="s">
        <v>139</v>
      </c>
      <c r="AA41" s="13" t="s">
        <v>173</v>
      </c>
      <c r="AB41" s="7">
        <v>-6002.9247063958373</v>
      </c>
      <c r="AC41" s="7">
        <v>-7502.4636410549138</v>
      </c>
    </row>
  </sheetData>
  <mergeCells count="2">
    <mergeCell ref="A1:AC1"/>
    <mergeCell ref="A2:AC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workbookViewId="0">
      <selection sqref="A1:R1"/>
    </sheetView>
  </sheetViews>
  <sheetFormatPr baseColWidth="10" defaultColWidth="8.83203125" defaultRowHeight="14"/>
  <cols>
    <col min="1" max="1" width="23" customWidth="1"/>
    <col min="2" max="18" width="17" customWidth="1"/>
  </cols>
  <sheetData>
    <row r="1" spans="1:18" ht="42.75" customHeight="1">
      <c r="A1" s="28" t="s">
        <v>174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44" customHeight="1">
      <c r="A2" s="29" t="s">
        <v>175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5" spans="1:18" ht="64" customHeight="1">
      <c r="A5" s="4" t="s">
        <v>31</v>
      </c>
      <c r="B5" s="4" t="s">
        <v>176</v>
      </c>
      <c r="C5" s="4" t="s">
        <v>33</v>
      </c>
      <c r="D5" s="4" t="s">
        <v>177</v>
      </c>
      <c r="E5" s="4" t="s">
        <v>35</v>
      </c>
      <c r="F5" s="4" t="s">
        <v>178</v>
      </c>
      <c r="G5" s="4" t="s">
        <v>37</v>
      </c>
      <c r="H5" s="4" t="s">
        <v>179</v>
      </c>
      <c r="I5" s="4" t="s">
        <v>42</v>
      </c>
      <c r="J5" s="4" t="s">
        <v>180</v>
      </c>
      <c r="K5" s="4" t="s">
        <v>41</v>
      </c>
      <c r="L5" s="4" t="s">
        <v>38</v>
      </c>
      <c r="M5" s="4" t="s">
        <v>39</v>
      </c>
      <c r="N5" s="4" t="s">
        <v>181</v>
      </c>
      <c r="O5" s="4" t="s">
        <v>182</v>
      </c>
      <c r="P5" s="4" t="s">
        <v>183</v>
      </c>
      <c r="Q5" s="4" t="s">
        <v>184</v>
      </c>
      <c r="R5" s="4" t="s">
        <v>50</v>
      </c>
    </row>
    <row r="6" spans="1:18" ht="30.75" customHeight="1">
      <c r="A6" s="3" t="str">
        <f>Source_Totals!A6</f>
        <v>a0.20_A_10kWh</v>
      </c>
      <c r="B6" s="8">
        <f>Source_Totals!B6</f>
        <v>0.2</v>
      </c>
      <c r="C6" s="3" t="str">
        <f>Source_Totals!C6</f>
        <v>A</v>
      </c>
      <c r="D6" s="3">
        <f>Source_Totals!D6</f>
        <v>10</v>
      </c>
      <c r="E6" s="14">
        <f>Source_Totals!E6</f>
        <v>15485.996310237682</v>
      </c>
      <c r="F6" s="14">
        <f>Source_Totals!F6</f>
        <v>4244.3163767441856</v>
      </c>
      <c r="G6" s="14">
        <f>Source_Totals!G6</f>
        <v>1798.7406715864483</v>
      </c>
      <c r="H6" s="14">
        <f>Source_Totals!J6</f>
        <v>1564.1112454141669</v>
      </c>
      <c r="I6" s="14">
        <f>Source_Totals!L6</f>
        <v>1564.1112454141669</v>
      </c>
      <c r="J6" s="14">
        <f t="shared" ref="J6:J41" si="0">I6-H6</f>
        <v>0</v>
      </c>
      <c r="K6" s="14">
        <f>Source_Totals!K6</f>
        <v>12644.420422365703</v>
      </c>
      <c r="L6" s="14">
        <f>Source_Totals!H6</f>
        <v>1042.8352162855299</v>
      </c>
      <c r="M6" s="14">
        <f>Source_Totals!I6</f>
        <v>881.46445974357061</v>
      </c>
      <c r="N6" s="14">
        <f t="shared" ref="N6:N41" si="1">F6-G6-H6</f>
        <v>881.46445974357061</v>
      </c>
      <c r="O6" s="14">
        <f t="shared" ref="O6:O41" si="2">M6-N6</f>
        <v>0</v>
      </c>
      <c r="P6" s="16">
        <f t="shared" ref="P6:P41" si="3">G6/E6</f>
        <v>0.11615272505246005</v>
      </c>
      <c r="Q6" s="16">
        <f t="shared" ref="Q6:Q41" si="4">G6/F6</f>
        <v>0.42379985654280139</v>
      </c>
      <c r="R6" s="14">
        <f>Source_Totals!T6</f>
        <v>-4.8236278975490876E-3</v>
      </c>
    </row>
    <row r="7" spans="1:18" ht="30.75" customHeight="1">
      <c r="A7" s="5" t="str">
        <f>Source_Totals!A7</f>
        <v>a0.20_A_15kWh</v>
      </c>
      <c r="B7" s="9">
        <f>Source_Totals!B7</f>
        <v>0.2</v>
      </c>
      <c r="C7" s="5" t="str">
        <f>Source_Totals!C7</f>
        <v>A</v>
      </c>
      <c r="D7" s="5">
        <f>Source_Totals!D7</f>
        <v>15</v>
      </c>
      <c r="E7" s="15">
        <f>Source_Totals!E7</f>
        <v>15485.996310237682</v>
      </c>
      <c r="F7" s="15">
        <f>Source_Totals!F7</f>
        <v>4244.3163767441856</v>
      </c>
      <c r="G7" s="15">
        <f>Source_Totals!G7</f>
        <v>1798.7406715864483</v>
      </c>
      <c r="H7" s="15">
        <f>Source_Totals!J7</f>
        <v>1559.9773239518395</v>
      </c>
      <c r="I7" s="15">
        <f>Source_Totals!L7</f>
        <v>1559.9773239518395</v>
      </c>
      <c r="J7" s="15">
        <f t="shared" si="0"/>
        <v>0</v>
      </c>
      <c r="K7" s="15">
        <f>Source_Totals!K7</f>
        <v>12638.142070186845</v>
      </c>
      <c r="L7" s="15">
        <f>Source_Totals!H7</f>
        <v>1049.1135684643896</v>
      </c>
      <c r="M7" s="15">
        <f>Source_Totals!I7</f>
        <v>885.59838120589814</v>
      </c>
      <c r="N7" s="15">
        <f t="shared" si="1"/>
        <v>885.59838120589802</v>
      </c>
      <c r="O7" s="15">
        <f t="shared" si="2"/>
        <v>0</v>
      </c>
      <c r="P7" s="17">
        <f t="shared" si="3"/>
        <v>0.11615272505246005</v>
      </c>
      <c r="Q7" s="17">
        <f t="shared" si="4"/>
        <v>0.42379985654280139</v>
      </c>
      <c r="R7" s="15">
        <f>Source_Totals!T7</f>
        <v>0.49436643689942628</v>
      </c>
    </row>
    <row r="8" spans="1:18" ht="30.75" customHeight="1">
      <c r="A8" s="3" t="str">
        <f>Source_Totals!A8</f>
        <v>a0.20_A_20kWh</v>
      </c>
      <c r="B8" s="8">
        <f>Source_Totals!B8</f>
        <v>0.2</v>
      </c>
      <c r="C8" s="3" t="str">
        <f>Source_Totals!C8</f>
        <v>A</v>
      </c>
      <c r="D8" s="3">
        <f>Source_Totals!D8</f>
        <v>20</v>
      </c>
      <c r="E8" s="14">
        <f>Source_Totals!E8</f>
        <v>15485.996310237682</v>
      </c>
      <c r="F8" s="14">
        <f>Source_Totals!F8</f>
        <v>4244.3163767441856</v>
      </c>
      <c r="G8" s="14">
        <f>Source_Totals!G8</f>
        <v>1798.7406715864483</v>
      </c>
      <c r="H8" s="14">
        <f>Source_Totals!J8</f>
        <v>1559.267272270504</v>
      </c>
      <c r="I8" s="14">
        <f>Source_Totals!L8</f>
        <v>1559.267272270504</v>
      </c>
      <c r="J8" s="14">
        <f t="shared" si="0"/>
        <v>0</v>
      </c>
      <c r="K8" s="14">
        <f>Source_Totals!K8</f>
        <v>12635.90481348639</v>
      </c>
      <c r="L8" s="14">
        <f>Source_Totals!H8</f>
        <v>1051.350825164845</v>
      </c>
      <c r="M8" s="14">
        <f>Source_Totals!I8</f>
        <v>886.30843288723349</v>
      </c>
      <c r="N8" s="14">
        <f t="shared" si="1"/>
        <v>886.30843288723349</v>
      </c>
      <c r="O8" s="14">
        <f t="shared" si="2"/>
        <v>0</v>
      </c>
      <c r="P8" s="16">
        <f t="shared" si="3"/>
        <v>0.11615272505246005</v>
      </c>
      <c r="Q8" s="16">
        <f t="shared" si="4"/>
        <v>0.42379985654280139</v>
      </c>
      <c r="R8" s="14">
        <f>Source_Totals!T8</f>
        <v>0.99355650169639986</v>
      </c>
    </row>
    <row r="9" spans="1:18" ht="30.75" customHeight="1">
      <c r="A9" s="5" t="str">
        <f>Source_Totals!A9</f>
        <v>a0.20_A_30kWh</v>
      </c>
      <c r="B9" s="9">
        <f>Source_Totals!B9</f>
        <v>0.2</v>
      </c>
      <c r="C9" s="5" t="str">
        <f>Source_Totals!C9</f>
        <v>A</v>
      </c>
      <c r="D9" s="5">
        <f>Source_Totals!D9</f>
        <v>30</v>
      </c>
      <c r="E9" s="15">
        <f>Source_Totals!E9</f>
        <v>15485.996310237682</v>
      </c>
      <c r="F9" s="15">
        <f>Source_Totals!F9</f>
        <v>4244.3163767441856</v>
      </c>
      <c r="G9" s="15">
        <f>Source_Totals!G9</f>
        <v>1798.7406715864483</v>
      </c>
      <c r="H9" s="15">
        <f>Source_Totals!J9</f>
        <v>1559.267272270504</v>
      </c>
      <c r="I9" s="15">
        <f>Source_Totals!L9</f>
        <v>1559.267272270504</v>
      </c>
      <c r="J9" s="15">
        <f t="shared" si="0"/>
        <v>0</v>
      </c>
      <c r="K9" s="15">
        <f>Source_Totals!K9</f>
        <v>12633.106367605169</v>
      </c>
      <c r="L9" s="15">
        <f>Source_Totals!H9</f>
        <v>1054.1492710460652</v>
      </c>
      <c r="M9" s="15">
        <f>Source_Totals!I9</f>
        <v>886.30843288723349</v>
      </c>
      <c r="N9" s="15">
        <f t="shared" si="1"/>
        <v>886.30843288723349</v>
      </c>
      <c r="O9" s="15">
        <f t="shared" si="2"/>
        <v>0</v>
      </c>
      <c r="P9" s="17">
        <f t="shared" si="3"/>
        <v>0.11615272505246005</v>
      </c>
      <c r="Q9" s="17">
        <f t="shared" si="4"/>
        <v>0.42379985654280139</v>
      </c>
      <c r="R9" s="15">
        <f>Source_Totals!T9</f>
        <v>1.9919366312903506</v>
      </c>
    </row>
    <row r="10" spans="1:18" ht="30.75" customHeight="1">
      <c r="A10" s="3" t="str">
        <f>Source_Totals!A10</f>
        <v>a0.20_B_10kWh</v>
      </c>
      <c r="B10" s="8">
        <f>Source_Totals!B10</f>
        <v>0.2</v>
      </c>
      <c r="C10" s="3" t="str">
        <f>Source_Totals!C10</f>
        <v>B</v>
      </c>
      <c r="D10" s="3">
        <f>Source_Totals!D10</f>
        <v>10</v>
      </c>
      <c r="E10" s="14">
        <f>Source_Totals!E10</f>
        <v>15485.996310237682</v>
      </c>
      <c r="F10" s="14">
        <f>Source_Totals!F10</f>
        <v>4244.3163767441856</v>
      </c>
      <c r="G10" s="14">
        <f>Source_Totals!G10</f>
        <v>1798.7406715864483</v>
      </c>
      <c r="H10" s="14">
        <f>Source_Totals!J10</f>
        <v>2032.1834582721797</v>
      </c>
      <c r="I10" s="14">
        <f>Source_Totals!L10</f>
        <v>3256.4872284048824</v>
      </c>
      <c r="J10" s="14">
        <f t="shared" si="0"/>
        <v>1224.3037701327028</v>
      </c>
      <c r="K10" s="14">
        <f>Source_Totals!K10</f>
        <v>14058.374110968422</v>
      </c>
      <c r="L10" s="14">
        <f>Source_Totals!H10</f>
        <v>2905.8908574933012</v>
      </c>
      <c r="M10" s="14">
        <f>Source_Totals!I10</f>
        <v>2466.0978065633444</v>
      </c>
      <c r="N10" s="14">
        <f t="shared" si="1"/>
        <v>413.39224688555782</v>
      </c>
      <c r="O10" s="14">
        <f t="shared" si="2"/>
        <v>2052.7055596777864</v>
      </c>
      <c r="P10" s="16">
        <f t="shared" si="3"/>
        <v>0.11615272505246005</v>
      </c>
      <c r="Q10" s="16">
        <f t="shared" si="4"/>
        <v>0.42379985654280139</v>
      </c>
      <c r="R10" s="14">
        <f>Source_Totals!T10</f>
        <v>-8</v>
      </c>
    </row>
    <row r="11" spans="1:18" ht="30.75" customHeight="1">
      <c r="A11" s="5" t="str">
        <f>Source_Totals!A11</f>
        <v>a0.20_B_15kWh</v>
      </c>
      <c r="B11" s="9">
        <f>Source_Totals!B11</f>
        <v>0.2</v>
      </c>
      <c r="C11" s="5" t="str">
        <f>Source_Totals!C11</f>
        <v>B</v>
      </c>
      <c r="D11" s="5">
        <f>Source_Totals!D11</f>
        <v>15</v>
      </c>
      <c r="E11" s="15">
        <f>Source_Totals!E11</f>
        <v>15485.996310237682</v>
      </c>
      <c r="F11" s="15">
        <f>Source_Totals!F11</f>
        <v>4244.3163767441856</v>
      </c>
      <c r="G11" s="15">
        <f>Source_Totals!G11</f>
        <v>1798.7406715864483</v>
      </c>
      <c r="H11" s="15">
        <f>Source_Totals!J11</f>
        <v>1952.3972787819032</v>
      </c>
      <c r="I11" s="15">
        <f>Source_Totals!L11</f>
        <v>3379.7879403663692</v>
      </c>
      <c r="J11" s="15">
        <f t="shared" si="0"/>
        <v>1427.390661584466</v>
      </c>
      <c r="K11" s="15">
        <f>Source_Totals!K11</f>
        <v>14048.562332294008</v>
      </c>
      <c r="L11" s="15">
        <f>Source_Totals!H11</f>
        <v>3793.6505706482289</v>
      </c>
      <c r="M11" s="15">
        <f>Source_Totals!I11</f>
        <v>3220.745029082369</v>
      </c>
      <c r="N11" s="15">
        <f t="shared" si="1"/>
        <v>493.17842637583431</v>
      </c>
      <c r="O11" s="15">
        <f t="shared" si="2"/>
        <v>2727.5666027065345</v>
      </c>
      <c r="P11" s="17">
        <f t="shared" si="3"/>
        <v>0.11615272505246005</v>
      </c>
      <c r="Q11" s="17">
        <f t="shared" si="4"/>
        <v>0.42379985654280139</v>
      </c>
      <c r="R11" s="15">
        <f>Source_Totals!T11</f>
        <v>-12</v>
      </c>
    </row>
    <row r="12" spans="1:18" ht="30.75" customHeight="1">
      <c r="A12" s="3" t="str">
        <f>Source_Totals!A12</f>
        <v>a0.20_B_20kWh</v>
      </c>
      <c r="B12" s="8">
        <f>Source_Totals!B12</f>
        <v>0.2</v>
      </c>
      <c r="C12" s="3" t="str">
        <f>Source_Totals!C12</f>
        <v>B</v>
      </c>
      <c r="D12" s="3">
        <f>Source_Totals!D12</f>
        <v>20</v>
      </c>
      <c r="E12" s="14">
        <f>Source_Totals!E12</f>
        <v>15485.996310237682</v>
      </c>
      <c r="F12" s="14">
        <f>Source_Totals!F12</f>
        <v>4244.3163767441856</v>
      </c>
      <c r="G12" s="14">
        <f>Source_Totals!G12</f>
        <v>1798.7406715864483</v>
      </c>
      <c r="H12" s="14">
        <f>Source_Totals!J12</f>
        <v>1874.724194182661</v>
      </c>
      <c r="I12" s="14">
        <f>Source_Totals!L12</f>
        <v>3431.1287967838971</v>
      </c>
      <c r="J12" s="14">
        <f t="shared" si="0"/>
        <v>1556.4046026012361</v>
      </c>
      <c r="K12" s="14">
        <f>Source_Totals!K12</f>
        <v>14009.280142704403</v>
      </c>
      <c r="L12" s="14">
        <f>Source_Totals!H12</f>
        <v>4400.188115323861</v>
      </c>
      <c r="M12" s="14">
        <f>Source_Totals!I12</f>
        <v>3736.6595277508709</v>
      </c>
      <c r="N12" s="14">
        <f t="shared" si="1"/>
        <v>570.85151097507651</v>
      </c>
      <c r="O12" s="14">
        <f t="shared" si="2"/>
        <v>3165.8080167757944</v>
      </c>
      <c r="P12" s="16">
        <f t="shared" si="3"/>
        <v>0.11615272505246005</v>
      </c>
      <c r="Q12" s="16">
        <f t="shared" si="4"/>
        <v>0.42379985654280139</v>
      </c>
      <c r="R12" s="14">
        <f>Source_Totals!T12</f>
        <v>-15.26118955561752</v>
      </c>
    </row>
    <row r="13" spans="1:18" ht="30.75" customHeight="1">
      <c r="A13" s="5" t="str">
        <f>Source_Totals!A13</f>
        <v>a0.20_B_30kWh</v>
      </c>
      <c r="B13" s="9">
        <f>Source_Totals!B13</f>
        <v>0.2</v>
      </c>
      <c r="C13" s="5" t="str">
        <f>Source_Totals!C13</f>
        <v>B</v>
      </c>
      <c r="D13" s="5">
        <f>Source_Totals!D13</f>
        <v>30</v>
      </c>
      <c r="E13" s="15">
        <f>Source_Totals!E13</f>
        <v>15485.996310237682</v>
      </c>
      <c r="F13" s="15">
        <f>Source_Totals!F13</f>
        <v>4244.3163767441856</v>
      </c>
      <c r="G13" s="15">
        <f>Source_Totals!G13</f>
        <v>1798.7406715864483</v>
      </c>
      <c r="H13" s="15">
        <f>Source_Totals!J13</f>
        <v>1838.4999023236246</v>
      </c>
      <c r="I13" s="15">
        <f>Source_Totals!L13</f>
        <v>3530.7851574562765</v>
      </c>
      <c r="J13" s="15">
        <f t="shared" si="0"/>
        <v>1692.2852551326519</v>
      </c>
      <c r="K13" s="15">
        <f>Source_Totals!K13</f>
        <v>14026.100616260548</v>
      </c>
      <c r="L13" s="15">
        <f>Source_Totals!H13</f>
        <v>4969.1295812194148</v>
      </c>
      <c r="M13" s="15">
        <f>Source_Totals!I13</f>
        <v>4222.7651065301898</v>
      </c>
      <c r="N13" s="15">
        <f t="shared" si="1"/>
        <v>607.07580283411289</v>
      </c>
      <c r="O13" s="15">
        <f t="shared" si="2"/>
        <v>3615.6893036960769</v>
      </c>
      <c r="P13" s="17">
        <f t="shared" si="3"/>
        <v>0.11615272505246005</v>
      </c>
      <c r="Q13" s="17">
        <f t="shared" si="4"/>
        <v>0.42379985654280139</v>
      </c>
      <c r="R13" s="15">
        <f>Source_Totals!T13</f>
        <v>-21.261109562817392</v>
      </c>
    </row>
    <row r="14" spans="1:18" ht="30.75" customHeight="1">
      <c r="A14" s="3" t="str">
        <f>Source_Totals!A14</f>
        <v>a0.20_C_10kWh</v>
      </c>
      <c r="B14" s="8">
        <f>Source_Totals!B14</f>
        <v>0.2</v>
      </c>
      <c r="C14" s="3" t="str">
        <f>Source_Totals!C14</f>
        <v>C</v>
      </c>
      <c r="D14" s="3">
        <f>Source_Totals!D14</f>
        <v>10</v>
      </c>
      <c r="E14" s="14">
        <f>Source_Totals!E14</f>
        <v>15485.996310237682</v>
      </c>
      <c r="F14" s="14">
        <f>Source_Totals!F14</f>
        <v>4244.3163767441856</v>
      </c>
      <c r="G14" s="14">
        <f>Source_Totals!G14</f>
        <v>2205.6120351222212</v>
      </c>
      <c r="H14" s="14">
        <f>Source_Totals!J14</f>
        <v>1401.7178868769868</v>
      </c>
      <c r="I14" s="14">
        <f>Source_Totals!L14</f>
        <v>1722.3726279082252</v>
      </c>
      <c r="J14" s="14">
        <f t="shared" si="0"/>
        <v>320.65474103123847</v>
      </c>
      <c r="K14" s="14">
        <f>Source_Totals!K14</f>
        <v>12475.726286176403</v>
      </c>
      <c r="L14" s="14">
        <f>Source_Totals!H14</f>
        <v>3174.7968786714368</v>
      </c>
      <c r="M14" s="14">
        <f>Source_Totals!I14</f>
        <v>2686.4706034461151</v>
      </c>
      <c r="N14" s="14">
        <f t="shared" si="1"/>
        <v>636.98645474497766</v>
      </c>
      <c r="O14" s="14">
        <f t="shared" si="2"/>
        <v>2049.4841487011372</v>
      </c>
      <c r="P14" s="16">
        <f t="shared" si="3"/>
        <v>0.14242622760177895</v>
      </c>
      <c r="Q14" s="16">
        <f t="shared" si="4"/>
        <v>0.51966249434358747</v>
      </c>
      <c r="R14" s="14">
        <f>Source_Totals!T14</f>
        <v>0</v>
      </c>
    </row>
    <row r="15" spans="1:18" ht="30.75" customHeight="1">
      <c r="A15" s="5" t="str">
        <f>Source_Totals!A15</f>
        <v>a0.20_C_15kWh</v>
      </c>
      <c r="B15" s="9">
        <f>Source_Totals!B15</f>
        <v>0.2</v>
      </c>
      <c r="C15" s="5" t="str">
        <f>Source_Totals!C15</f>
        <v>C</v>
      </c>
      <c r="D15" s="5">
        <f>Source_Totals!D15</f>
        <v>15</v>
      </c>
      <c r="E15" s="15">
        <f>Source_Totals!E15</f>
        <v>15485.996310237682</v>
      </c>
      <c r="F15" s="15">
        <f>Source_Totals!F15</f>
        <v>4244.3163767441856</v>
      </c>
      <c r="G15" s="15">
        <f>Source_Totals!G15</f>
        <v>2205.6120351222212</v>
      </c>
      <c r="H15" s="15">
        <f>Source_Totals!J15</f>
        <v>1362.9558342292441</v>
      </c>
      <c r="I15" s="15">
        <f>Source_Totals!L15</f>
        <v>1938.7559212547712</v>
      </c>
      <c r="J15" s="15">
        <f t="shared" si="0"/>
        <v>575.80008702552709</v>
      </c>
      <c r="K15" s="15">
        <f>Source_Totals!K15</f>
        <v>12513.658203742114</v>
      </c>
      <c r="L15" s="15">
        <f>Source_Totals!H15</f>
        <v>4334.0686016305735</v>
      </c>
      <c r="M15" s="15">
        <f>Source_Totals!I15</f>
        <v>3667.29095062442</v>
      </c>
      <c r="N15" s="15">
        <f t="shared" si="1"/>
        <v>675.74850739272028</v>
      </c>
      <c r="O15" s="15">
        <f t="shared" si="2"/>
        <v>2991.5424432316995</v>
      </c>
      <c r="P15" s="17">
        <f t="shared" si="3"/>
        <v>0.14242622760177895</v>
      </c>
      <c r="Q15" s="17">
        <f t="shared" si="4"/>
        <v>0.51966249434358747</v>
      </c>
      <c r="R15" s="15">
        <f>Source_Totals!T15</f>
        <v>0</v>
      </c>
    </row>
    <row r="16" spans="1:18" ht="30.75" customHeight="1">
      <c r="A16" s="3" t="str">
        <f>Source_Totals!A16</f>
        <v>a0.20_C_20kWh</v>
      </c>
      <c r="B16" s="8">
        <f>Source_Totals!B16</f>
        <v>0.2</v>
      </c>
      <c r="C16" s="3" t="str">
        <f>Source_Totals!C16</f>
        <v>C</v>
      </c>
      <c r="D16" s="3">
        <f>Source_Totals!D16</f>
        <v>20</v>
      </c>
      <c r="E16" s="14">
        <f>Source_Totals!E16</f>
        <v>15485.996310237682</v>
      </c>
      <c r="F16" s="14">
        <f>Source_Totals!F16</f>
        <v>4244.3163767441856</v>
      </c>
      <c r="G16" s="14">
        <f>Source_Totals!G16</f>
        <v>2205.6120351222212</v>
      </c>
      <c r="H16" s="14">
        <f>Source_Totals!J16</f>
        <v>1347.5186174233659</v>
      </c>
      <c r="I16" s="14">
        <f>Source_Totals!L16</f>
        <v>2328.4494440951785</v>
      </c>
      <c r="J16" s="14">
        <f t="shared" si="0"/>
        <v>980.93082667181261</v>
      </c>
      <c r="K16" s="14">
        <f>Source_Totals!K16</f>
        <v>12778.659351101049</v>
      </c>
      <c r="L16" s="14">
        <f>Source_Totals!H16</f>
        <v>5142.7784768263919</v>
      </c>
      <c r="M16" s="14">
        <f>Source_Totals!I16</f>
        <v>4351.3084503387636</v>
      </c>
      <c r="N16" s="14">
        <f t="shared" si="1"/>
        <v>691.18572419859856</v>
      </c>
      <c r="O16" s="14">
        <f t="shared" si="2"/>
        <v>3660.122726140165</v>
      </c>
      <c r="P16" s="16">
        <f t="shared" si="3"/>
        <v>0.14242622760177895</v>
      </c>
      <c r="Q16" s="16">
        <f t="shared" si="4"/>
        <v>0.51966249434358747</v>
      </c>
      <c r="R16" s="14">
        <f>Source_Totals!T16</f>
        <v>0</v>
      </c>
    </row>
    <row r="17" spans="1:18" ht="30.75" customHeight="1">
      <c r="A17" s="5" t="str">
        <f>Source_Totals!A17</f>
        <v>a0.20_C_30kWh</v>
      </c>
      <c r="B17" s="9">
        <f>Source_Totals!B17</f>
        <v>0.2</v>
      </c>
      <c r="C17" s="5" t="str">
        <f>Source_Totals!C17</f>
        <v>C</v>
      </c>
      <c r="D17" s="5">
        <f>Source_Totals!D17</f>
        <v>30</v>
      </c>
      <c r="E17" s="15">
        <f>Source_Totals!E17</f>
        <v>15485.996310237682</v>
      </c>
      <c r="F17" s="15">
        <f>Source_Totals!F17</f>
        <v>4244.3163767441856</v>
      </c>
      <c r="G17" s="15">
        <f>Source_Totals!G17</f>
        <v>2205.6120351222212</v>
      </c>
      <c r="H17" s="15">
        <f>Source_Totals!J17</f>
        <v>1343.0333954526727</v>
      </c>
      <c r="I17" s="15">
        <f>Source_Totals!L17</f>
        <v>2787.6931123656041</v>
      </c>
      <c r="J17" s="15">
        <f t="shared" si="0"/>
        <v>1444.6597169129313</v>
      </c>
      <c r="K17" s="15">
        <f>Source_Totals!K17</f>
        <v>13148.396737202271</v>
      </c>
      <c r="L17" s="15">
        <f>Source_Totals!H17</f>
        <v>5717.5564487412867</v>
      </c>
      <c r="M17" s="15">
        <f>Source_Totals!I17</f>
        <v>4836.5801400844557</v>
      </c>
      <c r="N17" s="15">
        <f t="shared" si="1"/>
        <v>695.67094616929171</v>
      </c>
      <c r="O17" s="15">
        <f t="shared" si="2"/>
        <v>4140.909193915164</v>
      </c>
      <c r="P17" s="17">
        <f t="shared" si="3"/>
        <v>0.14242622760177895</v>
      </c>
      <c r="Q17" s="17">
        <f t="shared" si="4"/>
        <v>0.51966249434358747</v>
      </c>
      <c r="R17" s="15">
        <f>Source_Totals!T17</f>
        <v>0</v>
      </c>
    </row>
    <row r="18" spans="1:18" ht="30.75" customHeight="1">
      <c r="A18" s="3" t="str">
        <f>Source_Totals!A18</f>
        <v>a0.25_A_10kWh</v>
      </c>
      <c r="B18" s="8">
        <f>Source_Totals!B18</f>
        <v>0.25</v>
      </c>
      <c r="C18" s="3" t="str">
        <f>Source_Totals!C18</f>
        <v>A</v>
      </c>
      <c r="D18" s="3">
        <f>Source_Totals!D18</f>
        <v>10</v>
      </c>
      <c r="E18" s="14">
        <f>Source_Totals!E18</f>
        <v>15485.996310237682</v>
      </c>
      <c r="F18" s="14">
        <f>Source_Totals!F18</f>
        <v>4244.3163767441856</v>
      </c>
      <c r="G18" s="14">
        <f>Source_Totals!G18</f>
        <v>1872.0539768799608</v>
      </c>
      <c r="H18" s="14">
        <f>Source_Totals!J18</f>
        <v>1550.724932778242</v>
      </c>
      <c r="I18" s="14">
        <f>Source_Totals!L18</f>
        <v>1550.724932778242</v>
      </c>
      <c r="J18" s="14">
        <f t="shared" si="0"/>
        <v>0</v>
      </c>
      <c r="K18" s="14">
        <f>Source_Totals!K18</f>
        <v>12641.750389269095</v>
      </c>
      <c r="L18" s="14">
        <f>Source_Totals!H18</f>
        <v>972.19194408862734</v>
      </c>
      <c r="M18" s="14">
        <f>Source_Totals!I18</f>
        <v>821.53746708598305</v>
      </c>
      <c r="N18" s="14">
        <f t="shared" si="1"/>
        <v>821.53746708598283</v>
      </c>
      <c r="O18" s="14">
        <f t="shared" si="2"/>
        <v>0</v>
      </c>
      <c r="P18" s="16">
        <f t="shared" si="3"/>
        <v>0.12088689286606373</v>
      </c>
      <c r="Q18" s="16">
        <f t="shared" si="4"/>
        <v>0.44107314599295094</v>
      </c>
      <c r="R18" s="14">
        <f>Source_Totals!T18</f>
        <v>0.11835714715336465</v>
      </c>
    </row>
    <row r="19" spans="1:18" ht="30.75" customHeight="1">
      <c r="A19" s="5" t="str">
        <f>Source_Totals!A19</f>
        <v>a0.25_A_15kWh</v>
      </c>
      <c r="B19" s="9">
        <f>Source_Totals!B19</f>
        <v>0.25</v>
      </c>
      <c r="C19" s="5" t="str">
        <f>Source_Totals!C19</f>
        <v>A</v>
      </c>
      <c r="D19" s="5">
        <f>Source_Totals!D19</f>
        <v>15</v>
      </c>
      <c r="E19" s="15">
        <f>Source_Totals!E19</f>
        <v>15485.996310237682</v>
      </c>
      <c r="F19" s="15">
        <f>Source_Totals!F19</f>
        <v>4244.3163767441856</v>
      </c>
      <c r="G19" s="15">
        <f>Source_Totals!G19</f>
        <v>1872.0539768799608</v>
      </c>
      <c r="H19" s="15">
        <f>Source_Totals!J19</f>
        <v>1546.5913120603655</v>
      </c>
      <c r="I19" s="15">
        <f>Source_Totals!L19</f>
        <v>1546.5913120603655</v>
      </c>
      <c r="J19" s="15">
        <f t="shared" si="0"/>
        <v>0</v>
      </c>
      <c r="K19" s="15">
        <f>Source_Totals!K19</f>
        <v>12635.471980203298</v>
      </c>
      <c r="L19" s="15">
        <f>Source_Totals!H19</f>
        <v>978.47035315442463</v>
      </c>
      <c r="M19" s="15">
        <f>Source_Totals!I19</f>
        <v>825.67108780385945</v>
      </c>
      <c r="N19" s="15">
        <f t="shared" si="1"/>
        <v>825.67108780385934</v>
      </c>
      <c r="O19" s="15">
        <f t="shared" si="2"/>
        <v>0</v>
      </c>
      <c r="P19" s="17">
        <f t="shared" si="3"/>
        <v>0.12088689286606373</v>
      </c>
      <c r="Q19" s="17">
        <f t="shared" si="4"/>
        <v>0.44107314599295094</v>
      </c>
      <c r="R19" s="15">
        <f>Source_Totals!T19</f>
        <v>0.61754721195034179</v>
      </c>
    </row>
    <row r="20" spans="1:18" ht="30.75" customHeight="1">
      <c r="A20" s="3" t="str">
        <f>Source_Totals!A20</f>
        <v>a0.25_A_20kWh</v>
      </c>
      <c r="B20" s="8">
        <f>Source_Totals!B20</f>
        <v>0.25</v>
      </c>
      <c r="C20" s="3" t="str">
        <f>Source_Totals!C20</f>
        <v>A</v>
      </c>
      <c r="D20" s="3">
        <f>Source_Totals!D20</f>
        <v>20</v>
      </c>
      <c r="E20" s="14">
        <f>Source_Totals!E20</f>
        <v>15485.996310237682</v>
      </c>
      <c r="F20" s="14">
        <f>Source_Totals!F20</f>
        <v>4244.3163767441856</v>
      </c>
      <c r="G20" s="14">
        <f>Source_Totals!G20</f>
        <v>1872.0539768799608</v>
      </c>
      <c r="H20" s="14">
        <f>Source_Totals!J20</f>
        <v>1546.3494461792354</v>
      </c>
      <c r="I20" s="14">
        <f>Source_Totals!L20</f>
        <v>1546.3494461792354</v>
      </c>
      <c r="J20" s="14">
        <f t="shared" si="0"/>
        <v>0</v>
      </c>
      <c r="K20" s="14">
        <f>Source_Totals!K20</f>
        <v>12633.787287331197</v>
      </c>
      <c r="L20" s="14">
        <f>Source_Totals!H20</f>
        <v>980.15504602652595</v>
      </c>
      <c r="M20" s="14">
        <f>Source_Totals!I20</f>
        <v>825.91295368498959</v>
      </c>
      <c r="N20" s="14">
        <f t="shared" si="1"/>
        <v>825.91295368498936</v>
      </c>
      <c r="O20" s="14">
        <f t="shared" si="2"/>
        <v>0</v>
      </c>
      <c r="P20" s="16">
        <f t="shared" si="3"/>
        <v>0.12088689286606373</v>
      </c>
      <c r="Q20" s="16">
        <f t="shared" si="4"/>
        <v>0.44107314599295094</v>
      </c>
      <c r="R20" s="14">
        <f>Source_Totals!T20</f>
        <v>1.1167372767473154</v>
      </c>
    </row>
    <row r="21" spans="1:18" ht="30.75" customHeight="1">
      <c r="A21" s="5" t="str">
        <f>Source_Totals!A21</f>
        <v>a0.25_A_30kWh</v>
      </c>
      <c r="B21" s="9">
        <f>Source_Totals!B21</f>
        <v>0.25</v>
      </c>
      <c r="C21" s="5" t="str">
        <f>Source_Totals!C21</f>
        <v>A</v>
      </c>
      <c r="D21" s="5">
        <f>Source_Totals!D21</f>
        <v>30</v>
      </c>
      <c r="E21" s="15">
        <f>Source_Totals!E21</f>
        <v>15485.996310237682</v>
      </c>
      <c r="F21" s="15">
        <f>Source_Totals!F21</f>
        <v>4244.3163767441856</v>
      </c>
      <c r="G21" s="15">
        <f>Source_Totals!G21</f>
        <v>1872.0539768799608</v>
      </c>
      <c r="H21" s="15">
        <f>Source_Totals!J21</f>
        <v>1546.3494461792354</v>
      </c>
      <c r="I21" s="15">
        <f>Source_Totals!L21</f>
        <v>1546.3494461792354</v>
      </c>
      <c r="J21" s="15">
        <f t="shared" si="0"/>
        <v>0</v>
      </c>
      <c r="K21" s="15">
        <f>Source_Totals!K21</f>
        <v>12630.988832622241</v>
      </c>
      <c r="L21" s="15">
        <f>Source_Totals!H21</f>
        <v>982.95350073548116</v>
      </c>
      <c r="M21" s="15">
        <f>Source_Totals!I21</f>
        <v>825.91295368498959</v>
      </c>
      <c r="N21" s="15">
        <f t="shared" si="1"/>
        <v>825.91295368498936</v>
      </c>
      <c r="O21" s="15">
        <f t="shared" si="2"/>
        <v>0</v>
      </c>
      <c r="P21" s="17">
        <f t="shared" si="3"/>
        <v>0.12088689286606373</v>
      </c>
      <c r="Q21" s="17">
        <f t="shared" si="4"/>
        <v>0.44107314599295094</v>
      </c>
      <c r="R21" s="15">
        <f>Source_Totals!T21</f>
        <v>2.1151174063412697</v>
      </c>
    </row>
    <row r="22" spans="1:18" ht="30.75" customHeight="1">
      <c r="A22" s="3" t="str">
        <f>Source_Totals!A22</f>
        <v>a0.25_B_10kWh</v>
      </c>
      <c r="B22" s="8">
        <f>Source_Totals!B22</f>
        <v>0.25</v>
      </c>
      <c r="C22" s="3" t="str">
        <f>Source_Totals!C22</f>
        <v>B</v>
      </c>
      <c r="D22" s="3">
        <f>Source_Totals!D22</f>
        <v>10</v>
      </c>
      <c r="E22" s="14">
        <f>Source_Totals!E22</f>
        <v>15485.996310237682</v>
      </c>
      <c r="F22" s="14">
        <f>Source_Totals!F22</f>
        <v>4244.3163767441856</v>
      </c>
      <c r="G22" s="14">
        <f>Source_Totals!G22</f>
        <v>1872.0539768799608</v>
      </c>
      <c r="H22" s="14">
        <f>Source_Totals!J22</f>
        <v>2002.7728517889173</v>
      </c>
      <c r="I22" s="14">
        <f>Source_Totals!L22</f>
        <v>3229.4218291330253</v>
      </c>
      <c r="J22" s="14">
        <f t="shared" si="0"/>
        <v>1226.6489773441081</v>
      </c>
      <c r="K22" s="14">
        <f>Source_Totals!K22</f>
        <v>14031.311930043259</v>
      </c>
      <c r="L22" s="14">
        <f>Source_Totals!H22</f>
        <v>2905.8734900205909</v>
      </c>
      <c r="M22" s="14">
        <f>Source_Totals!I22</f>
        <v>2466.0836574373261</v>
      </c>
      <c r="N22" s="14">
        <f t="shared" si="1"/>
        <v>369.48954807530754</v>
      </c>
      <c r="O22" s="14">
        <f t="shared" si="2"/>
        <v>2096.5941093620186</v>
      </c>
      <c r="P22" s="16">
        <f t="shared" si="3"/>
        <v>0.12088689286606373</v>
      </c>
      <c r="Q22" s="16">
        <f t="shared" si="4"/>
        <v>0.44107314599295094</v>
      </c>
      <c r="R22" s="14">
        <f>Source_Totals!T22</f>
        <v>-8</v>
      </c>
    </row>
    <row r="23" spans="1:18" ht="30.75" customHeight="1">
      <c r="A23" s="5" t="str">
        <f>Source_Totals!A23</f>
        <v>a0.25_B_15kWh</v>
      </c>
      <c r="B23" s="9">
        <f>Source_Totals!B23</f>
        <v>0.25</v>
      </c>
      <c r="C23" s="5" t="str">
        <f>Source_Totals!C23</f>
        <v>B</v>
      </c>
      <c r="D23" s="5">
        <f>Source_Totals!D23</f>
        <v>15</v>
      </c>
      <c r="E23" s="15">
        <f>Source_Totals!E23</f>
        <v>15485.996310237682</v>
      </c>
      <c r="F23" s="15">
        <f>Source_Totals!F23</f>
        <v>4244.3163767441856</v>
      </c>
      <c r="G23" s="15">
        <f>Source_Totals!G23</f>
        <v>1872.0539768799608</v>
      </c>
      <c r="H23" s="15">
        <f>Source_Totals!J23</f>
        <v>1928.9349535685039</v>
      </c>
      <c r="I23" s="15">
        <f>Source_Totals!L23</f>
        <v>3358.6865373125192</v>
      </c>
      <c r="J23" s="15">
        <f t="shared" si="0"/>
        <v>1429.7515837440153</v>
      </c>
      <c r="K23" s="15">
        <f>Source_Totals!K23</f>
        <v>14027.464178576078</v>
      </c>
      <c r="L23" s="15">
        <f>Source_Totals!H23</f>
        <v>3793.6331724692718</v>
      </c>
      <c r="M23" s="15">
        <f>Source_Totals!I23</f>
        <v>3220.7308802393336</v>
      </c>
      <c r="N23" s="15">
        <f t="shared" si="1"/>
        <v>443.32744629572085</v>
      </c>
      <c r="O23" s="15">
        <f t="shared" si="2"/>
        <v>2777.403433943613</v>
      </c>
      <c r="P23" s="17">
        <f t="shared" si="3"/>
        <v>0.12088689286606373</v>
      </c>
      <c r="Q23" s="17">
        <f t="shared" si="4"/>
        <v>0.44107314599295094</v>
      </c>
      <c r="R23" s="15">
        <f>Source_Totals!T23</f>
        <v>-12</v>
      </c>
    </row>
    <row r="24" spans="1:18" ht="30.75" customHeight="1">
      <c r="A24" s="3" t="str">
        <f>Source_Totals!A24</f>
        <v>a0.25_B_20kWh</v>
      </c>
      <c r="B24" s="8">
        <f>Source_Totals!B24</f>
        <v>0.25</v>
      </c>
      <c r="C24" s="3" t="str">
        <f>Source_Totals!C24</f>
        <v>B</v>
      </c>
      <c r="D24" s="3">
        <f>Source_Totals!D24</f>
        <v>20</v>
      </c>
      <c r="E24" s="14">
        <f>Source_Totals!E24</f>
        <v>15485.996310237682</v>
      </c>
      <c r="F24" s="14">
        <f>Source_Totals!F24</f>
        <v>4244.3163767441856</v>
      </c>
      <c r="G24" s="14">
        <f>Source_Totals!G24</f>
        <v>1872.0539768799608</v>
      </c>
      <c r="H24" s="14">
        <f>Source_Totals!J24</f>
        <v>1852.1605627686702</v>
      </c>
      <c r="I24" s="14">
        <f>Source_Totals!L24</f>
        <v>3411.0091898267788</v>
      </c>
      <c r="J24" s="14">
        <f t="shared" si="0"/>
        <v>1558.8486270581086</v>
      </c>
      <c r="K24" s="14">
        <f>Source_Totals!K24</f>
        <v>13989.166735916544</v>
      </c>
      <c r="L24" s="14">
        <f>Source_Totals!H24</f>
        <v>4400.1517866433787</v>
      </c>
      <c r="M24" s="14">
        <f>Source_Totals!I24</f>
        <v>3736.6293992396477</v>
      </c>
      <c r="N24" s="14">
        <f t="shared" si="1"/>
        <v>520.10183709555463</v>
      </c>
      <c r="O24" s="14">
        <f t="shared" si="2"/>
        <v>3216.5275621440933</v>
      </c>
      <c r="P24" s="16">
        <f t="shared" si="3"/>
        <v>0.12088689286606373</v>
      </c>
      <c r="Q24" s="16">
        <f t="shared" si="4"/>
        <v>0.44107314599295094</v>
      </c>
      <c r="R24" s="14">
        <f>Source_Totals!T24</f>
        <v>-15.26118955561752</v>
      </c>
    </row>
    <row r="25" spans="1:18" ht="30.75" customHeight="1">
      <c r="A25" s="5" t="str">
        <f>Source_Totals!A25</f>
        <v>a0.25_B_30kWh</v>
      </c>
      <c r="B25" s="9">
        <f>Source_Totals!B25</f>
        <v>0.25</v>
      </c>
      <c r="C25" s="5" t="str">
        <f>Source_Totals!C25</f>
        <v>B</v>
      </c>
      <c r="D25" s="5">
        <f>Source_Totals!D25</f>
        <v>30</v>
      </c>
      <c r="E25" s="15">
        <f>Source_Totals!E25</f>
        <v>15485.996310237682</v>
      </c>
      <c r="F25" s="15">
        <f>Source_Totals!F25</f>
        <v>4244.3163767441856</v>
      </c>
      <c r="G25" s="15">
        <f>Source_Totals!G25</f>
        <v>1872.0539768799608</v>
      </c>
      <c r="H25" s="15">
        <f>Source_Totals!J25</f>
        <v>1815.8274665039621</v>
      </c>
      <c r="I25" s="15">
        <f>Source_Totals!L25</f>
        <v>3510.5928884189598</v>
      </c>
      <c r="J25" s="15">
        <f t="shared" si="0"/>
        <v>1694.7654219149977</v>
      </c>
      <c r="K25" s="15">
        <f>Source_Totals!K25</f>
        <v>14005.914602054991</v>
      </c>
      <c r="L25" s="15">
        <f>Source_Totals!H25</f>
        <v>4969.0931973861043</v>
      </c>
      <c r="M25" s="15">
        <f>Source_Totals!I25</f>
        <v>4222.7349775286375</v>
      </c>
      <c r="N25" s="15">
        <f t="shared" si="1"/>
        <v>556.43493336026268</v>
      </c>
      <c r="O25" s="15">
        <f t="shared" si="2"/>
        <v>3666.3000441683748</v>
      </c>
      <c r="P25" s="17">
        <f t="shared" si="3"/>
        <v>0.12088689286606373</v>
      </c>
      <c r="Q25" s="17">
        <f t="shared" si="4"/>
        <v>0.44107314599295094</v>
      </c>
      <c r="R25" s="15">
        <f>Source_Totals!T25</f>
        <v>-21.261109562817392</v>
      </c>
    </row>
    <row r="26" spans="1:18" ht="30.75" customHeight="1">
      <c r="A26" s="3" t="str">
        <f>Source_Totals!A26</f>
        <v>a0.25_C_10kWh</v>
      </c>
      <c r="B26" s="8">
        <f>Source_Totals!B26</f>
        <v>0.25</v>
      </c>
      <c r="C26" s="3" t="str">
        <f>Source_Totals!C26</f>
        <v>C</v>
      </c>
      <c r="D26" s="3">
        <f>Source_Totals!D26</f>
        <v>10</v>
      </c>
      <c r="E26" s="14">
        <f>Source_Totals!E26</f>
        <v>15485.996310237682</v>
      </c>
      <c r="F26" s="14">
        <f>Source_Totals!F26</f>
        <v>4244.3163767441856</v>
      </c>
      <c r="G26" s="14">
        <f>Source_Totals!G26</f>
        <v>2205.6120351222212</v>
      </c>
      <c r="H26" s="14">
        <f>Source_Totals!J26</f>
        <v>1401.7178868769868</v>
      </c>
      <c r="I26" s="14">
        <f>Source_Totals!L26</f>
        <v>1722.3726279082252</v>
      </c>
      <c r="J26" s="14">
        <f t="shared" si="0"/>
        <v>320.65474103123847</v>
      </c>
      <c r="K26" s="14">
        <f>Source_Totals!K26</f>
        <v>12475.726286176403</v>
      </c>
      <c r="L26" s="14">
        <f>Source_Totals!H26</f>
        <v>3174.7968786714368</v>
      </c>
      <c r="M26" s="14">
        <f>Source_Totals!I26</f>
        <v>2686.4706034461151</v>
      </c>
      <c r="N26" s="14">
        <f t="shared" si="1"/>
        <v>636.98645474497766</v>
      </c>
      <c r="O26" s="14">
        <f t="shared" si="2"/>
        <v>2049.4841487011372</v>
      </c>
      <c r="P26" s="16">
        <f t="shared" si="3"/>
        <v>0.14242622760177895</v>
      </c>
      <c r="Q26" s="16">
        <f t="shared" si="4"/>
        <v>0.51966249434358747</v>
      </c>
      <c r="R26" s="14">
        <f>Source_Totals!T26</f>
        <v>0</v>
      </c>
    </row>
    <row r="27" spans="1:18" ht="30.75" customHeight="1">
      <c r="A27" s="5" t="str">
        <f>Source_Totals!A27</f>
        <v>a0.25_C_15kWh</v>
      </c>
      <c r="B27" s="9">
        <f>Source_Totals!B27</f>
        <v>0.25</v>
      </c>
      <c r="C27" s="5" t="str">
        <f>Source_Totals!C27</f>
        <v>C</v>
      </c>
      <c r="D27" s="5">
        <f>Source_Totals!D27</f>
        <v>15</v>
      </c>
      <c r="E27" s="15">
        <f>Source_Totals!E27</f>
        <v>15485.996310237682</v>
      </c>
      <c r="F27" s="15">
        <f>Source_Totals!F27</f>
        <v>4244.3163767441856</v>
      </c>
      <c r="G27" s="15">
        <f>Source_Totals!G27</f>
        <v>2205.6120351222212</v>
      </c>
      <c r="H27" s="15">
        <f>Source_Totals!J27</f>
        <v>1362.9558342292441</v>
      </c>
      <c r="I27" s="15">
        <f>Source_Totals!L27</f>
        <v>1938.7559212547712</v>
      </c>
      <c r="J27" s="15">
        <f t="shared" si="0"/>
        <v>575.80008702552709</v>
      </c>
      <c r="K27" s="15">
        <f>Source_Totals!K27</f>
        <v>12513.658203742114</v>
      </c>
      <c r="L27" s="15">
        <f>Source_Totals!H27</f>
        <v>4334.0686016305735</v>
      </c>
      <c r="M27" s="15">
        <f>Source_Totals!I27</f>
        <v>3667.29095062442</v>
      </c>
      <c r="N27" s="15">
        <f t="shared" si="1"/>
        <v>675.74850739272028</v>
      </c>
      <c r="O27" s="15">
        <f t="shared" si="2"/>
        <v>2991.5424432316995</v>
      </c>
      <c r="P27" s="17">
        <f t="shared" si="3"/>
        <v>0.14242622760177895</v>
      </c>
      <c r="Q27" s="17">
        <f t="shared" si="4"/>
        <v>0.51966249434358747</v>
      </c>
      <c r="R27" s="15">
        <f>Source_Totals!T27</f>
        <v>0</v>
      </c>
    </row>
    <row r="28" spans="1:18" ht="30.75" customHeight="1">
      <c r="A28" s="3" t="str">
        <f>Source_Totals!A28</f>
        <v>a0.25_C_20kWh</v>
      </c>
      <c r="B28" s="8">
        <f>Source_Totals!B28</f>
        <v>0.25</v>
      </c>
      <c r="C28" s="3" t="str">
        <f>Source_Totals!C28</f>
        <v>C</v>
      </c>
      <c r="D28" s="3">
        <f>Source_Totals!D28</f>
        <v>20</v>
      </c>
      <c r="E28" s="14">
        <f>Source_Totals!E28</f>
        <v>15485.996310237682</v>
      </c>
      <c r="F28" s="14">
        <f>Source_Totals!F28</f>
        <v>4244.3163767441856</v>
      </c>
      <c r="G28" s="14">
        <f>Source_Totals!G28</f>
        <v>2205.6120351222212</v>
      </c>
      <c r="H28" s="14">
        <f>Source_Totals!J28</f>
        <v>1347.5186174233659</v>
      </c>
      <c r="I28" s="14">
        <f>Source_Totals!L28</f>
        <v>2328.4494440951785</v>
      </c>
      <c r="J28" s="14">
        <f t="shared" si="0"/>
        <v>980.93082667181261</v>
      </c>
      <c r="K28" s="14">
        <f>Source_Totals!K28</f>
        <v>12778.659351101049</v>
      </c>
      <c r="L28" s="14">
        <f>Source_Totals!H28</f>
        <v>5142.7784768263919</v>
      </c>
      <c r="M28" s="14">
        <f>Source_Totals!I28</f>
        <v>4351.3084503387636</v>
      </c>
      <c r="N28" s="14">
        <f t="shared" si="1"/>
        <v>691.18572419859856</v>
      </c>
      <c r="O28" s="14">
        <f t="shared" si="2"/>
        <v>3660.122726140165</v>
      </c>
      <c r="P28" s="16">
        <f t="shared" si="3"/>
        <v>0.14242622760177895</v>
      </c>
      <c r="Q28" s="16">
        <f t="shared" si="4"/>
        <v>0.51966249434358747</v>
      </c>
      <c r="R28" s="14">
        <f>Source_Totals!T28</f>
        <v>0</v>
      </c>
    </row>
    <row r="29" spans="1:18" ht="30.75" customHeight="1">
      <c r="A29" s="5" t="str">
        <f>Source_Totals!A29</f>
        <v>a0.25_C_30kWh</v>
      </c>
      <c r="B29" s="9">
        <f>Source_Totals!B29</f>
        <v>0.25</v>
      </c>
      <c r="C29" s="5" t="str">
        <f>Source_Totals!C29</f>
        <v>C</v>
      </c>
      <c r="D29" s="5">
        <f>Source_Totals!D29</f>
        <v>30</v>
      </c>
      <c r="E29" s="15">
        <f>Source_Totals!E29</f>
        <v>15485.996310237682</v>
      </c>
      <c r="F29" s="15">
        <f>Source_Totals!F29</f>
        <v>4244.3163767441856</v>
      </c>
      <c r="G29" s="15">
        <f>Source_Totals!G29</f>
        <v>2205.6120351222212</v>
      </c>
      <c r="H29" s="15">
        <f>Source_Totals!J29</f>
        <v>1343.0333954526727</v>
      </c>
      <c r="I29" s="15">
        <f>Source_Totals!L29</f>
        <v>2787.6931123656041</v>
      </c>
      <c r="J29" s="15">
        <f t="shared" si="0"/>
        <v>1444.6597169129313</v>
      </c>
      <c r="K29" s="15">
        <f>Source_Totals!K29</f>
        <v>13148.396737202271</v>
      </c>
      <c r="L29" s="15">
        <f>Source_Totals!H29</f>
        <v>5717.5564487412867</v>
      </c>
      <c r="M29" s="15">
        <f>Source_Totals!I29</f>
        <v>4836.5801400844557</v>
      </c>
      <c r="N29" s="15">
        <f t="shared" si="1"/>
        <v>695.67094616929171</v>
      </c>
      <c r="O29" s="15">
        <f t="shared" si="2"/>
        <v>4140.909193915164</v>
      </c>
      <c r="P29" s="17">
        <f t="shared" si="3"/>
        <v>0.14242622760177895</v>
      </c>
      <c r="Q29" s="17">
        <f t="shared" si="4"/>
        <v>0.51966249434358747</v>
      </c>
      <c r="R29" s="15">
        <f>Source_Totals!T29</f>
        <v>0</v>
      </c>
    </row>
    <row r="30" spans="1:18" ht="30.75" customHeight="1">
      <c r="A30" s="3" t="str">
        <f>Source_Totals!A30</f>
        <v>a0.30_A_10kWh</v>
      </c>
      <c r="B30" s="8">
        <f>Source_Totals!B30</f>
        <v>0.3</v>
      </c>
      <c r="C30" s="3" t="str">
        <f>Source_Totals!C30</f>
        <v>A</v>
      </c>
      <c r="D30" s="3">
        <f>Source_Totals!D30</f>
        <v>10</v>
      </c>
      <c r="E30" s="14">
        <f>Source_Totals!E30</f>
        <v>15485.996310237682</v>
      </c>
      <c r="F30" s="14">
        <f>Source_Totals!F30</f>
        <v>4244.3163767441856</v>
      </c>
      <c r="G30" s="14">
        <f>Source_Totals!G30</f>
        <v>1923.8859097032764</v>
      </c>
      <c r="H30" s="14">
        <f>Source_Totals!J30</f>
        <v>1541.7824595202653</v>
      </c>
      <c r="I30" s="14">
        <f>Source_Totals!L30</f>
        <v>1541.7824595202653</v>
      </c>
      <c r="J30" s="14">
        <f t="shared" si="0"/>
        <v>0</v>
      </c>
      <c r="K30" s="14">
        <f>Source_Totals!K30</f>
        <v>12640.484225644086</v>
      </c>
      <c r="L30" s="14">
        <f>Source_Totals!H30</f>
        <v>921.62617489032073</v>
      </c>
      <c r="M30" s="14">
        <f>Source_Totals!I30</f>
        <v>778.64800752064423</v>
      </c>
      <c r="N30" s="14">
        <f t="shared" si="1"/>
        <v>778.64800752064389</v>
      </c>
      <c r="O30" s="14">
        <f t="shared" si="2"/>
        <v>0</v>
      </c>
      <c r="P30" s="16">
        <f t="shared" si="3"/>
        <v>0.12423391244329621</v>
      </c>
      <c r="Q30" s="16">
        <f t="shared" si="4"/>
        <v>0.45328522639000085</v>
      </c>
      <c r="R30" s="14">
        <f>Source_Totals!T30</f>
        <v>0.20047766385397736</v>
      </c>
    </row>
    <row r="31" spans="1:18" ht="30.75" customHeight="1">
      <c r="A31" s="5" t="str">
        <f>Source_Totals!A31</f>
        <v>a0.30_A_15kWh</v>
      </c>
      <c r="B31" s="9">
        <f>Source_Totals!B31</f>
        <v>0.3</v>
      </c>
      <c r="C31" s="5" t="str">
        <f>Source_Totals!C31</f>
        <v>A</v>
      </c>
      <c r="D31" s="5">
        <f>Source_Totals!D31</f>
        <v>15</v>
      </c>
      <c r="E31" s="15">
        <f>Source_Totals!E31</f>
        <v>15485.996310237682</v>
      </c>
      <c r="F31" s="15">
        <f>Source_Totals!F31</f>
        <v>4244.3163767441856</v>
      </c>
      <c r="G31" s="15">
        <f>Source_Totals!G31</f>
        <v>1923.8859097032764</v>
      </c>
      <c r="H31" s="15">
        <f>Source_Totals!J31</f>
        <v>1537.7192623549463</v>
      </c>
      <c r="I31" s="15">
        <f>Source_Totals!L31</f>
        <v>1537.7192623549463</v>
      </c>
      <c r="J31" s="15">
        <f t="shared" si="0"/>
        <v>0</v>
      </c>
      <c r="K31" s="15">
        <f>Source_Totals!K31</f>
        <v>12634.288697843545</v>
      </c>
      <c r="L31" s="15">
        <f>Source_Totals!H31</f>
        <v>927.82170269086146</v>
      </c>
      <c r="M31" s="15">
        <f>Source_Totals!I31</f>
        <v>782.71120468596337</v>
      </c>
      <c r="N31" s="15">
        <f t="shared" si="1"/>
        <v>782.71120468596291</v>
      </c>
      <c r="O31" s="15">
        <f t="shared" si="2"/>
        <v>0</v>
      </c>
      <c r="P31" s="17">
        <f t="shared" si="3"/>
        <v>0.12423391244329621</v>
      </c>
      <c r="Q31" s="17">
        <f t="shared" si="4"/>
        <v>0.45328522639000085</v>
      </c>
      <c r="R31" s="15">
        <f>Source_Totals!T31</f>
        <v>0.69966772865095272</v>
      </c>
    </row>
    <row r="32" spans="1:18" ht="30.75" customHeight="1">
      <c r="A32" s="3" t="str">
        <f>Source_Totals!A32</f>
        <v>a0.30_A_20kWh</v>
      </c>
      <c r="B32" s="8">
        <f>Source_Totals!B32</f>
        <v>0.3</v>
      </c>
      <c r="C32" s="3" t="str">
        <f>Source_Totals!C32</f>
        <v>A</v>
      </c>
      <c r="D32" s="3">
        <f>Source_Totals!D32</f>
        <v>20</v>
      </c>
      <c r="E32" s="14">
        <f>Source_Totals!E32</f>
        <v>15485.996310237682</v>
      </c>
      <c r="F32" s="14">
        <f>Source_Totals!F32</f>
        <v>4244.3163767441856</v>
      </c>
      <c r="G32" s="14">
        <f>Source_Totals!G32</f>
        <v>1923.8859097032764</v>
      </c>
      <c r="H32" s="14">
        <f>Source_Totals!J32</f>
        <v>1537.7192623549463</v>
      </c>
      <c r="I32" s="14">
        <f>Source_Totals!L32</f>
        <v>1537.7192623549463</v>
      </c>
      <c r="J32" s="14">
        <f t="shared" si="0"/>
        <v>0</v>
      </c>
      <c r="K32" s="14">
        <f>Source_Totals!K32</f>
        <v>12632.889465394732</v>
      </c>
      <c r="L32" s="14">
        <f>Source_Totals!H32</f>
        <v>929.22093513967639</v>
      </c>
      <c r="M32" s="14">
        <f>Source_Totals!I32</f>
        <v>782.71120468596337</v>
      </c>
      <c r="N32" s="14">
        <f t="shared" si="1"/>
        <v>782.71120468596291</v>
      </c>
      <c r="O32" s="14">
        <f t="shared" si="2"/>
        <v>0</v>
      </c>
      <c r="P32" s="16">
        <f t="shared" si="3"/>
        <v>0.12423391244329621</v>
      </c>
      <c r="Q32" s="16">
        <f t="shared" si="4"/>
        <v>0.45328522639000085</v>
      </c>
      <c r="R32" s="14">
        <f>Source_Totals!T32</f>
        <v>1.1988577934479316</v>
      </c>
    </row>
    <row r="33" spans="1:18" ht="30.75" customHeight="1">
      <c r="A33" s="5" t="str">
        <f>Source_Totals!A33</f>
        <v>a0.30_A_30kWh</v>
      </c>
      <c r="B33" s="9">
        <f>Source_Totals!B33</f>
        <v>0.3</v>
      </c>
      <c r="C33" s="5" t="str">
        <f>Source_Totals!C33</f>
        <v>A</v>
      </c>
      <c r="D33" s="5">
        <f>Source_Totals!D33</f>
        <v>30</v>
      </c>
      <c r="E33" s="15">
        <f>Source_Totals!E33</f>
        <v>15485.996310237682</v>
      </c>
      <c r="F33" s="15">
        <f>Source_Totals!F33</f>
        <v>4244.3163767441856</v>
      </c>
      <c r="G33" s="15">
        <f>Source_Totals!G33</f>
        <v>1923.8859097032764</v>
      </c>
      <c r="H33" s="15">
        <f>Source_Totals!J33</f>
        <v>1537.7192623549463</v>
      </c>
      <c r="I33" s="15">
        <f>Source_Totals!L33</f>
        <v>1537.7192623549463</v>
      </c>
      <c r="J33" s="15">
        <f t="shared" si="0"/>
        <v>0</v>
      </c>
      <c r="K33" s="15">
        <f>Source_Totals!K33</f>
        <v>12630.091008880949</v>
      </c>
      <c r="L33" s="15">
        <f>Source_Totals!H33</f>
        <v>932.01939165345914</v>
      </c>
      <c r="M33" s="15">
        <f>Source_Totals!I33</f>
        <v>782.71120468596337</v>
      </c>
      <c r="N33" s="15">
        <f t="shared" si="1"/>
        <v>782.71120468596291</v>
      </c>
      <c r="O33" s="15">
        <f t="shared" si="2"/>
        <v>0</v>
      </c>
      <c r="P33" s="17">
        <f t="shared" si="3"/>
        <v>0.12423391244329621</v>
      </c>
      <c r="Q33" s="17">
        <f t="shared" si="4"/>
        <v>0.45328522639000085</v>
      </c>
      <c r="R33" s="15">
        <f>Source_Totals!T33</f>
        <v>2.1972379230418824</v>
      </c>
    </row>
    <row r="34" spans="1:18" ht="30.75" customHeight="1">
      <c r="A34" s="3" t="str">
        <f>Source_Totals!A34</f>
        <v>a0.30_B_10kWh</v>
      </c>
      <c r="B34" s="8">
        <f>Source_Totals!B34</f>
        <v>0.3</v>
      </c>
      <c r="C34" s="3" t="str">
        <f>Source_Totals!C34</f>
        <v>B</v>
      </c>
      <c r="D34" s="3">
        <f>Source_Totals!D34</f>
        <v>10</v>
      </c>
      <c r="E34" s="14">
        <f>Source_Totals!E34</f>
        <v>15485.996310237682</v>
      </c>
      <c r="F34" s="14">
        <f>Source_Totals!F34</f>
        <v>4244.3163767441856</v>
      </c>
      <c r="G34" s="14">
        <f>Source_Totals!G34</f>
        <v>1923.8859097032764</v>
      </c>
      <c r="H34" s="14">
        <f>Source_Totals!J34</f>
        <v>1984.4060042860983</v>
      </c>
      <c r="I34" s="14">
        <f>Source_Totals!L34</f>
        <v>3212.5161809653873</v>
      </c>
      <c r="J34" s="14">
        <f t="shared" si="0"/>
        <v>1228.110176679289</v>
      </c>
      <c r="K34" s="14">
        <f>Source_Totals!K34</f>
        <v>14014.408420751439</v>
      </c>
      <c r="L34" s="14">
        <f>Source_Totals!H34</f>
        <v>2905.8619183940923</v>
      </c>
      <c r="M34" s="14">
        <f>Source_Totals!I34</f>
        <v>2466.0742246866475</v>
      </c>
      <c r="N34" s="14">
        <f t="shared" si="1"/>
        <v>336.02446275481088</v>
      </c>
      <c r="O34" s="14">
        <f t="shared" si="2"/>
        <v>2130.0497619318367</v>
      </c>
      <c r="P34" s="16">
        <f t="shared" si="3"/>
        <v>0.12423391244329621</v>
      </c>
      <c r="Q34" s="16">
        <f t="shared" si="4"/>
        <v>0.45328522639000085</v>
      </c>
      <c r="R34" s="14">
        <f>Source_Totals!T34</f>
        <v>-8</v>
      </c>
    </row>
    <row r="35" spans="1:18" ht="30.75" customHeight="1">
      <c r="A35" s="5" t="str">
        <f>Source_Totals!A35</f>
        <v>a0.30_B_15kWh</v>
      </c>
      <c r="B35" s="9">
        <f>Source_Totals!B35</f>
        <v>0.3</v>
      </c>
      <c r="C35" s="5" t="str">
        <f>Source_Totals!C35</f>
        <v>B</v>
      </c>
      <c r="D35" s="5">
        <f>Source_Totals!D35</f>
        <v>15</v>
      </c>
      <c r="E35" s="15">
        <f>Source_Totals!E35</f>
        <v>15485.996310237682</v>
      </c>
      <c r="F35" s="15">
        <f>Source_Totals!F35</f>
        <v>4244.3163767441856</v>
      </c>
      <c r="G35" s="15">
        <f>Source_Totals!G35</f>
        <v>1923.8859097032764</v>
      </c>
      <c r="H35" s="15">
        <f>Source_Totals!J35</f>
        <v>1913.5460864434572</v>
      </c>
      <c r="I35" s="15">
        <f>Source_Totals!L35</f>
        <v>3344.770193756156</v>
      </c>
      <c r="J35" s="15">
        <f t="shared" si="0"/>
        <v>1431.2241073126988</v>
      </c>
      <c r="K35" s="15">
        <f>Source_Totals!K35</f>
        <v>14013.549994661666</v>
      </c>
      <c r="L35" s="15">
        <f>Source_Totals!H35</f>
        <v>3793.6215802652987</v>
      </c>
      <c r="M35" s="15">
        <f>Source_Totals!I35</f>
        <v>3220.7214476773102</v>
      </c>
      <c r="N35" s="15">
        <f t="shared" si="1"/>
        <v>406.88438059745204</v>
      </c>
      <c r="O35" s="15">
        <f t="shared" si="2"/>
        <v>2813.8370670798581</v>
      </c>
      <c r="P35" s="17">
        <f t="shared" si="3"/>
        <v>0.12423391244329621</v>
      </c>
      <c r="Q35" s="17">
        <f t="shared" si="4"/>
        <v>0.45328522639000085</v>
      </c>
      <c r="R35" s="15">
        <f>Source_Totals!T35</f>
        <v>-12</v>
      </c>
    </row>
    <row r="36" spans="1:18" ht="30.75" customHeight="1">
      <c r="A36" s="3" t="str">
        <f>Source_Totals!A36</f>
        <v>a0.30_B_20kWh</v>
      </c>
      <c r="B36" s="8">
        <f>Source_Totals!B36</f>
        <v>0.3</v>
      </c>
      <c r="C36" s="3" t="str">
        <f>Source_Totals!C36</f>
        <v>B</v>
      </c>
      <c r="D36" s="3">
        <f>Source_Totals!D36</f>
        <v>20</v>
      </c>
      <c r="E36" s="14">
        <f>Source_Totals!E36</f>
        <v>15485.996310237682</v>
      </c>
      <c r="F36" s="14">
        <f>Source_Totals!F36</f>
        <v>4244.3163767441856</v>
      </c>
      <c r="G36" s="14">
        <f>Source_Totals!G36</f>
        <v>1923.8859097032764</v>
      </c>
      <c r="H36" s="14">
        <f>Source_Totals!J36</f>
        <v>1837.3158326395587</v>
      </c>
      <c r="I36" s="14">
        <f>Source_Totals!L36</f>
        <v>3397.7214093125122</v>
      </c>
      <c r="J36" s="14">
        <f t="shared" si="0"/>
        <v>1560.4055766729534</v>
      </c>
      <c r="K36" s="14">
        <f>Source_Totals!K36</f>
        <v>13975.883083768873</v>
      </c>
      <c r="L36" s="14">
        <f>Source_Totals!H36</f>
        <v>4400.1275726026361</v>
      </c>
      <c r="M36" s="14">
        <f>Source_Totals!I36</f>
        <v>3736.6093135654987</v>
      </c>
      <c r="N36" s="14">
        <f t="shared" si="1"/>
        <v>483.11463440135049</v>
      </c>
      <c r="O36" s="14">
        <f t="shared" si="2"/>
        <v>3253.4946791641482</v>
      </c>
      <c r="P36" s="16">
        <f t="shared" si="3"/>
        <v>0.12423391244329621</v>
      </c>
      <c r="Q36" s="16">
        <f t="shared" si="4"/>
        <v>0.45328522639000085</v>
      </c>
      <c r="R36" s="14">
        <f>Source_Totals!T36</f>
        <v>-15.26118955561752</v>
      </c>
    </row>
    <row r="37" spans="1:18" ht="30.75" customHeight="1">
      <c r="A37" s="5" t="str">
        <f>Source_Totals!A37</f>
        <v>a0.30_B_30kWh</v>
      </c>
      <c r="B37" s="9">
        <f>Source_Totals!B37</f>
        <v>0.3</v>
      </c>
      <c r="C37" s="5" t="str">
        <f>Source_Totals!C37</f>
        <v>B</v>
      </c>
      <c r="D37" s="5">
        <f>Source_Totals!D37</f>
        <v>30</v>
      </c>
      <c r="E37" s="15">
        <f>Source_Totals!E37</f>
        <v>15485.996310237682</v>
      </c>
      <c r="F37" s="15">
        <f>Source_Totals!F37</f>
        <v>4244.3163767441856</v>
      </c>
      <c r="G37" s="15">
        <f>Source_Totals!G37</f>
        <v>1923.8859097032764</v>
      </c>
      <c r="H37" s="15">
        <f>Source_Totals!J37</f>
        <v>1800.8967601194397</v>
      </c>
      <c r="I37" s="15">
        <f>Source_Totals!L37</f>
        <v>3497.2427026994837</v>
      </c>
      <c r="J37" s="15">
        <f t="shared" si="0"/>
        <v>1696.345942580044</v>
      </c>
      <c r="K37" s="15">
        <f>Source_Totals!K37</f>
        <v>13992.568576878908</v>
      </c>
      <c r="L37" s="15">
        <f>Source_Totals!H37</f>
        <v>4969.0689508416735</v>
      </c>
      <c r="M37" s="15">
        <f>Source_Totals!I37</f>
        <v>4222.714891527603</v>
      </c>
      <c r="N37" s="15">
        <f t="shared" si="1"/>
        <v>519.5337069214695</v>
      </c>
      <c r="O37" s="15">
        <f t="shared" si="2"/>
        <v>3703.1811846061337</v>
      </c>
      <c r="P37" s="17">
        <f t="shared" si="3"/>
        <v>0.12423391244329621</v>
      </c>
      <c r="Q37" s="17">
        <f t="shared" si="4"/>
        <v>0.45328522639000085</v>
      </c>
      <c r="R37" s="15">
        <f>Source_Totals!T37</f>
        <v>-21.261109562817392</v>
      </c>
    </row>
    <row r="38" spans="1:18" ht="30.75" customHeight="1">
      <c r="A38" s="3" t="str">
        <f>Source_Totals!A38</f>
        <v>a0.30_C_10kWh</v>
      </c>
      <c r="B38" s="8">
        <f>Source_Totals!B38</f>
        <v>0.3</v>
      </c>
      <c r="C38" s="3" t="str">
        <f>Source_Totals!C38</f>
        <v>C</v>
      </c>
      <c r="D38" s="3">
        <f>Source_Totals!D38</f>
        <v>10</v>
      </c>
      <c r="E38" s="14">
        <f>Source_Totals!E38</f>
        <v>15485.996310237682</v>
      </c>
      <c r="F38" s="14">
        <f>Source_Totals!F38</f>
        <v>4244.3163767441856</v>
      </c>
      <c r="G38" s="14">
        <f>Source_Totals!G38</f>
        <v>2205.6120351222212</v>
      </c>
      <c r="H38" s="14">
        <f>Source_Totals!J38</f>
        <v>1401.7178868769868</v>
      </c>
      <c r="I38" s="14">
        <f>Source_Totals!L38</f>
        <v>1722.3726279082252</v>
      </c>
      <c r="J38" s="14">
        <f t="shared" si="0"/>
        <v>320.65474103123847</v>
      </c>
      <c r="K38" s="14">
        <f>Source_Totals!K38</f>
        <v>12475.726286176403</v>
      </c>
      <c r="L38" s="14">
        <f>Source_Totals!H38</f>
        <v>3174.7968786714368</v>
      </c>
      <c r="M38" s="14">
        <f>Source_Totals!I38</f>
        <v>2686.4706034461151</v>
      </c>
      <c r="N38" s="14">
        <f t="shared" si="1"/>
        <v>636.98645474497766</v>
      </c>
      <c r="O38" s="14">
        <f t="shared" si="2"/>
        <v>2049.4841487011372</v>
      </c>
      <c r="P38" s="16">
        <f t="shared" si="3"/>
        <v>0.14242622760177895</v>
      </c>
      <c r="Q38" s="16">
        <f t="shared" si="4"/>
        <v>0.51966249434358747</v>
      </c>
      <c r="R38" s="14">
        <f>Source_Totals!T38</f>
        <v>0</v>
      </c>
    </row>
    <row r="39" spans="1:18" ht="30.75" customHeight="1">
      <c r="A39" s="5" t="str">
        <f>Source_Totals!A39</f>
        <v>a0.30_C_15kWh</v>
      </c>
      <c r="B39" s="9">
        <f>Source_Totals!B39</f>
        <v>0.3</v>
      </c>
      <c r="C39" s="5" t="str">
        <f>Source_Totals!C39</f>
        <v>C</v>
      </c>
      <c r="D39" s="5">
        <f>Source_Totals!D39</f>
        <v>15</v>
      </c>
      <c r="E39" s="15">
        <f>Source_Totals!E39</f>
        <v>15485.996310237682</v>
      </c>
      <c r="F39" s="15">
        <f>Source_Totals!F39</f>
        <v>4244.3163767441856</v>
      </c>
      <c r="G39" s="15">
        <f>Source_Totals!G39</f>
        <v>2205.6120351222212</v>
      </c>
      <c r="H39" s="15">
        <f>Source_Totals!J39</f>
        <v>1362.9558342292441</v>
      </c>
      <c r="I39" s="15">
        <f>Source_Totals!L39</f>
        <v>1938.7559212547712</v>
      </c>
      <c r="J39" s="15">
        <f t="shared" si="0"/>
        <v>575.80008702552709</v>
      </c>
      <c r="K39" s="15">
        <f>Source_Totals!K39</f>
        <v>12513.658203742114</v>
      </c>
      <c r="L39" s="15">
        <f>Source_Totals!H39</f>
        <v>4334.0686016305735</v>
      </c>
      <c r="M39" s="15">
        <f>Source_Totals!I39</f>
        <v>3667.29095062442</v>
      </c>
      <c r="N39" s="15">
        <f t="shared" si="1"/>
        <v>675.74850739272028</v>
      </c>
      <c r="O39" s="15">
        <f t="shared" si="2"/>
        <v>2991.5424432316995</v>
      </c>
      <c r="P39" s="17">
        <f t="shared" si="3"/>
        <v>0.14242622760177895</v>
      </c>
      <c r="Q39" s="17">
        <f t="shared" si="4"/>
        <v>0.51966249434358747</v>
      </c>
      <c r="R39" s="15">
        <f>Source_Totals!T39</f>
        <v>0</v>
      </c>
    </row>
    <row r="40" spans="1:18" ht="30.75" customHeight="1">
      <c r="A40" s="3" t="str">
        <f>Source_Totals!A40</f>
        <v>a0.30_C_20kWh</v>
      </c>
      <c r="B40" s="8">
        <f>Source_Totals!B40</f>
        <v>0.3</v>
      </c>
      <c r="C40" s="3" t="str">
        <f>Source_Totals!C40</f>
        <v>C</v>
      </c>
      <c r="D40" s="3">
        <f>Source_Totals!D40</f>
        <v>20</v>
      </c>
      <c r="E40" s="14">
        <f>Source_Totals!E40</f>
        <v>15485.996310237682</v>
      </c>
      <c r="F40" s="14">
        <f>Source_Totals!F40</f>
        <v>4244.3163767441856</v>
      </c>
      <c r="G40" s="14">
        <f>Source_Totals!G40</f>
        <v>2205.6120351222212</v>
      </c>
      <c r="H40" s="14">
        <f>Source_Totals!J40</f>
        <v>1347.5186174233659</v>
      </c>
      <c r="I40" s="14">
        <f>Source_Totals!L40</f>
        <v>2328.4494440951785</v>
      </c>
      <c r="J40" s="14">
        <f t="shared" si="0"/>
        <v>980.93082667181261</v>
      </c>
      <c r="K40" s="14">
        <f>Source_Totals!K40</f>
        <v>12778.659351101049</v>
      </c>
      <c r="L40" s="14">
        <f>Source_Totals!H40</f>
        <v>5142.7784768263919</v>
      </c>
      <c r="M40" s="14">
        <f>Source_Totals!I40</f>
        <v>4351.3084503387636</v>
      </c>
      <c r="N40" s="14">
        <f t="shared" si="1"/>
        <v>691.18572419859856</v>
      </c>
      <c r="O40" s="14">
        <f t="shared" si="2"/>
        <v>3660.122726140165</v>
      </c>
      <c r="P40" s="16">
        <f t="shared" si="3"/>
        <v>0.14242622760177895</v>
      </c>
      <c r="Q40" s="16">
        <f t="shared" si="4"/>
        <v>0.51966249434358747</v>
      </c>
      <c r="R40" s="14">
        <f>Source_Totals!T40</f>
        <v>0</v>
      </c>
    </row>
    <row r="41" spans="1:18" ht="30.75" customHeight="1">
      <c r="A41" s="5" t="str">
        <f>Source_Totals!A41</f>
        <v>a0.30_C_30kWh</v>
      </c>
      <c r="B41" s="9">
        <f>Source_Totals!B41</f>
        <v>0.3</v>
      </c>
      <c r="C41" s="5" t="str">
        <f>Source_Totals!C41</f>
        <v>C</v>
      </c>
      <c r="D41" s="5">
        <f>Source_Totals!D41</f>
        <v>30</v>
      </c>
      <c r="E41" s="15">
        <f>Source_Totals!E41</f>
        <v>15485.996310237682</v>
      </c>
      <c r="F41" s="15">
        <f>Source_Totals!F41</f>
        <v>4244.3163767441856</v>
      </c>
      <c r="G41" s="15">
        <f>Source_Totals!G41</f>
        <v>2205.6120351222212</v>
      </c>
      <c r="H41" s="15">
        <f>Source_Totals!J41</f>
        <v>1343.0333954526727</v>
      </c>
      <c r="I41" s="15">
        <f>Source_Totals!L41</f>
        <v>2787.6931123656041</v>
      </c>
      <c r="J41" s="15">
        <f t="shared" si="0"/>
        <v>1444.6597169129313</v>
      </c>
      <c r="K41" s="15">
        <f>Source_Totals!K41</f>
        <v>13148.396737202271</v>
      </c>
      <c r="L41" s="15">
        <f>Source_Totals!H41</f>
        <v>5717.5564487412867</v>
      </c>
      <c r="M41" s="15">
        <f>Source_Totals!I41</f>
        <v>4836.5801400844557</v>
      </c>
      <c r="N41" s="15">
        <f t="shared" si="1"/>
        <v>695.67094616929171</v>
      </c>
      <c r="O41" s="15">
        <f t="shared" si="2"/>
        <v>4140.909193915164</v>
      </c>
      <c r="P41" s="17">
        <f t="shared" si="3"/>
        <v>0.14242622760177895</v>
      </c>
      <c r="Q41" s="17">
        <f t="shared" si="4"/>
        <v>0.51966249434358747</v>
      </c>
      <c r="R41" s="15">
        <f>Source_Totals!T41</f>
        <v>0</v>
      </c>
    </row>
  </sheetData>
  <mergeCells count="2">
    <mergeCell ref="A1:R1"/>
    <mergeCell ref="A2:R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workbookViewId="0">
      <selection activeCell="E16" sqref="E16"/>
    </sheetView>
  </sheetViews>
  <sheetFormatPr baseColWidth="10" defaultColWidth="8.83203125" defaultRowHeight="14"/>
  <cols>
    <col min="1" max="1" width="23" customWidth="1"/>
    <col min="2" max="14" width="19" customWidth="1"/>
  </cols>
  <sheetData>
    <row r="1" spans="1:14" ht="42.75" customHeight="1">
      <c r="A1" s="28" t="s">
        <v>185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44" customHeight="1">
      <c r="A2" s="29" t="s">
        <v>186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5" spans="1:14" ht="64" customHeight="1">
      <c r="A5" s="4" t="s">
        <v>31</v>
      </c>
      <c r="B5" s="4" t="s">
        <v>176</v>
      </c>
      <c r="C5" s="4" t="s">
        <v>33</v>
      </c>
      <c r="D5" s="4" t="s">
        <v>177</v>
      </c>
      <c r="E5" s="4" t="s">
        <v>187</v>
      </c>
      <c r="F5" s="4" t="s">
        <v>188</v>
      </c>
      <c r="G5" s="4" t="s">
        <v>189</v>
      </c>
      <c r="H5" s="4" t="s">
        <v>190</v>
      </c>
      <c r="I5" s="4" t="s">
        <v>191</v>
      </c>
      <c r="J5" s="4" t="s">
        <v>192</v>
      </c>
      <c r="K5" s="4" t="s">
        <v>193</v>
      </c>
      <c r="L5" s="4" t="s">
        <v>194</v>
      </c>
      <c r="M5" s="4" t="s">
        <v>195</v>
      </c>
      <c r="N5" s="4" t="s">
        <v>196</v>
      </c>
    </row>
    <row r="6" spans="1:14" ht="30.75" customHeight="1">
      <c r="A6" s="3" t="str">
        <f>Source_Totals!A6</f>
        <v>a0.20_A_10kWh</v>
      </c>
      <c r="B6" s="8">
        <f>Source_Totals!B6</f>
        <v>0.2</v>
      </c>
      <c r="C6" s="3" t="str">
        <f>Source_Totals!C6</f>
        <v>A</v>
      </c>
      <c r="D6" s="3">
        <f>Source_Totals!D6</f>
        <v>10</v>
      </c>
      <c r="E6" s="14">
        <f>Source_Totals!N6-Source_Totals!O6</f>
        <v>172.46553936137457</v>
      </c>
      <c r="F6" s="14">
        <f>Source_Totals!V6*(Source_Totals!H6+Source_Totals!I6)</f>
        <v>57.728990280873013</v>
      </c>
      <c r="G6" s="14">
        <f>E6+F6-Source_Totals!Q6</f>
        <v>1060.2577982307907</v>
      </c>
      <c r="H6" s="14">
        <f>Source_Totals!P6</f>
        <v>478.32014795099923</v>
      </c>
      <c r="I6" s="14">
        <f t="shared" ref="I6:I41" si="0">E6+F6-G6</f>
        <v>-830.06326858854322</v>
      </c>
      <c r="J6" s="14">
        <f t="shared" ref="J6:J41" si="1">E6+F6-H6</f>
        <v>-248.12561830875165</v>
      </c>
      <c r="K6" s="14">
        <f t="shared" ref="K6:K41" si="2">H6-G6</f>
        <v>-581.93765027979157</v>
      </c>
      <c r="L6" s="14">
        <f t="shared" ref="L6:L41" si="3">G6-H6</f>
        <v>581.93765027979157</v>
      </c>
      <c r="M6" s="18">
        <f t="shared" ref="M6:M41" si="4">K6+L6</f>
        <v>0</v>
      </c>
      <c r="N6" s="18">
        <f>Source_Totals!M6-Source_Totals!O6-L6</f>
        <v>0</v>
      </c>
    </row>
    <row r="7" spans="1:14" ht="30.75" customHeight="1">
      <c r="A7" s="5" t="str">
        <f>Source_Totals!A7</f>
        <v>a0.20_A_15kWh</v>
      </c>
      <c r="B7" s="9">
        <f>Source_Totals!B7</f>
        <v>0.2</v>
      </c>
      <c r="C7" s="5" t="str">
        <f>Source_Totals!C7</f>
        <v>A</v>
      </c>
      <c r="D7" s="5">
        <f>Source_Totals!D7</f>
        <v>15</v>
      </c>
      <c r="E7" s="15">
        <f>Source_Totals!N7-Source_Totals!O7</f>
        <v>171.83678724618062</v>
      </c>
      <c r="F7" s="15">
        <f>Source_Totals!V7*(Source_Totals!H7+Source_Totals!I7)</f>
        <v>58.041358490108628</v>
      </c>
      <c r="G7" s="15">
        <f>E7+F7-Source_Totals!Q7</f>
        <v>1059.6854317173086</v>
      </c>
      <c r="H7" s="15">
        <f>Source_Totals!P7</f>
        <v>477.77842763537819</v>
      </c>
      <c r="I7" s="15">
        <f t="shared" si="0"/>
        <v>-829.80728598101928</v>
      </c>
      <c r="J7" s="15">
        <f t="shared" si="1"/>
        <v>-247.90028189908895</v>
      </c>
      <c r="K7" s="15">
        <f t="shared" si="2"/>
        <v>-581.90700408193038</v>
      </c>
      <c r="L7" s="15">
        <f t="shared" si="3"/>
        <v>581.90700408193038</v>
      </c>
      <c r="M7" s="19">
        <f t="shared" si="4"/>
        <v>0</v>
      </c>
      <c r="N7" s="19">
        <f>Source_Totals!M7-Source_Totals!O7-L7</f>
        <v>0</v>
      </c>
    </row>
    <row r="8" spans="1:14" ht="30.75" customHeight="1">
      <c r="A8" s="3" t="str">
        <f>Source_Totals!A8</f>
        <v>a0.20_A_20kWh</v>
      </c>
      <c r="B8" s="8">
        <f>Source_Totals!B8</f>
        <v>0.2</v>
      </c>
      <c r="C8" s="3" t="str">
        <f>Source_Totals!C8</f>
        <v>A</v>
      </c>
      <c r="D8" s="3">
        <f>Source_Totals!D8</f>
        <v>20</v>
      </c>
      <c r="E8" s="14">
        <f>Source_Totals!N8-Source_Totals!O8</f>
        <v>171.73167856528244</v>
      </c>
      <c r="F8" s="14">
        <f>Source_Totals!V8*(Source_Totals!H8+Source_Totals!I8)</f>
        <v>58.12977774156235</v>
      </c>
      <c r="G8" s="14">
        <f>E8+F8-Source_Totals!Q8</f>
        <v>1059.5343019540207</v>
      </c>
      <c r="H8" s="14">
        <f>Source_Totals!P8</f>
        <v>477.63895941483702</v>
      </c>
      <c r="I8" s="14">
        <f t="shared" si="0"/>
        <v>-829.67284564717602</v>
      </c>
      <c r="J8" s="14">
        <f t="shared" si="1"/>
        <v>-247.77750310799223</v>
      </c>
      <c r="K8" s="14">
        <f t="shared" si="2"/>
        <v>-581.89534253918373</v>
      </c>
      <c r="L8" s="14">
        <f t="shared" si="3"/>
        <v>581.89534253918373</v>
      </c>
      <c r="M8" s="18">
        <f t="shared" si="4"/>
        <v>0</v>
      </c>
      <c r="N8" s="18">
        <f>Source_Totals!M8-Source_Totals!O8-L8</f>
        <v>0</v>
      </c>
    </row>
    <row r="9" spans="1:14" ht="30.75" customHeight="1">
      <c r="A9" s="5" t="str">
        <f>Source_Totals!A9</f>
        <v>a0.20_A_30kWh</v>
      </c>
      <c r="B9" s="9">
        <f>Source_Totals!B9</f>
        <v>0.2</v>
      </c>
      <c r="C9" s="5" t="str">
        <f>Source_Totals!C9</f>
        <v>A</v>
      </c>
      <c r="D9" s="5">
        <f>Source_Totals!D9</f>
        <v>30</v>
      </c>
      <c r="E9" s="15">
        <f>Source_Totals!N9-Source_Totals!O9</f>
        <v>171.73167856528244</v>
      </c>
      <c r="F9" s="15">
        <f>Source_Totals!V9*(Source_Totals!H9+Source_Totals!I9)</f>
        <v>58.213731117998961</v>
      </c>
      <c r="G9" s="15">
        <f>E9+F9-Source_Totals!Q9</f>
        <v>1059.3920615601373</v>
      </c>
      <c r="H9" s="15">
        <f>Source_Totals!P9</f>
        <v>477.54409740648953</v>
      </c>
      <c r="I9" s="15">
        <f t="shared" si="0"/>
        <v>-829.44665187685587</v>
      </c>
      <c r="J9" s="15">
        <f t="shared" si="1"/>
        <v>-247.59868772320812</v>
      </c>
      <c r="K9" s="15">
        <f t="shared" si="2"/>
        <v>-581.84796415364781</v>
      </c>
      <c r="L9" s="15">
        <f t="shared" si="3"/>
        <v>581.84796415364781</v>
      </c>
      <c r="M9" s="19">
        <f t="shared" si="4"/>
        <v>0</v>
      </c>
      <c r="N9" s="19">
        <f>Source_Totals!M9-Source_Totals!O9-L9</f>
        <v>0</v>
      </c>
    </row>
    <row r="10" spans="1:14" ht="30.75" customHeight="1">
      <c r="A10" s="3" t="str">
        <f>Source_Totals!A10</f>
        <v>a0.20_B_10kWh</v>
      </c>
      <c r="B10" s="8">
        <f>Source_Totals!B10</f>
        <v>0.2</v>
      </c>
      <c r="C10" s="3" t="str">
        <f>Source_Totals!C10</f>
        <v>B</v>
      </c>
      <c r="D10" s="3">
        <f>Source_Totals!D10</f>
        <v>10</v>
      </c>
      <c r="E10" s="14">
        <f>Source_Totals!N10-Source_Totals!O10</f>
        <v>331.81670670795006</v>
      </c>
      <c r="F10" s="14">
        <f>Source_Totals!V10*(Source_Totals!H10+Source_Totals!I10)</f>
        <v>161.15965992169936</v>
      </c>
      <c r="G10" s="14">
        <f>E10+F10-Source_Totals!Q10</f>
        <v>1400.48009789611</v>
      </c>
      <c r="H10" s="14">
        <f>Source_Totals!P10</f>
        <v>765.97811555651947</v>
      </c>
      <c r="I10" s="14">
        <f t="shared" si="0"/>
        <v>-907.50373126646059</v>
      </c>
      <c r="J10" s="14">
        <f t="shared" si="1"/>
        <v>-273.00174892687005</v>
      </c>
      <c r="K10" s="14">
        <f t="shared" si="2"/>
        <v>-634.50198233959054</v>
      </c>
      <c r="L10" s="14">
        <f t="shared" si="3"/>
        <v>634.50198233959054</v>
      </c>
      <c r="M10" s="18">
        <f t="shared" si="4"/>
        <v>0</v>
      </c>
      <c r="N10" s="18">
        <f>Source_Totals!M10-Source_Totals!O10-L10</f>
        <v>0</v>
      </c>
    </row>
    <row r="11" spans="1:14" ht="30.75" customHeight="1">
      <c r="A11" s="5" t="str">
        <f>Source_Totals!A11</f>
        <v>a0.20_B_15kWh</v>
      </c>
      <c r="B11" s="9">
        <f>Source_Totals!B11</f>
        <v>0.2</v>
      </c>
      <c r="C11" s="5" t="str">
        <f>Source_Totals!C11</f>
        <v>B</v>
      </c>
      <c r="D11" s="5">
        <f>Source_Totals!D11</f>
        <v>15</v>
      </c>
      <c r="E11" s="15">
        <f>Source_Totals!N11-Source_Totals!O11</f>
        <v>336.39608503438683</v>
      </c>
      <c r="F11" s="15">
        <f>Source_Totals!V11*(Source_Totals!H11+Source_Totals!I11)</f>
        <v>210.43186799191795</v>
      </c>
      <c r="G11" s="15">
        <f>E11+F11-Source_Totals!Q11</f>
        <v>1489.4260391169651</v>
      </c>
      <c r="H11" s="15">
        <f>Source_Totals!P11</f>
        <v>770.63407101333337</v>
      </c>
      <c r="I11" s="15">
        <f t="shared" si="0"/>
        <v>-942.59808609066022</v>
      </c>
      <c r="J11" s="15">
        <f t="shared" si="1"/>
        <v>-223.80611798702853</v>
      </c>
      <c r="K11" s="15">
        <f t="shared" si="2"/>
        <v>-718.79196810363169</v>
      </c>
      <c r="L11" s="15">
        <f t="shared" si="3"/>
        <v>718.79196810363169</v>
      </c>
      <c r="M11" s="19">
        <f t="shared" si="4"/>
        <v>0</v>
      </c>
      <c r="N11" s="19">
        <f>Source_Totals!M11-Source_Totals!O11-L11</f>
        <v>0</v>
      </c>
    </row>
    <row r="12" spans="1:14" ht="30.75" customHeight="1">
      <c r="A12" s="3" t="str">
        <f>Source_Totals!A12</f>
        <v>a0.20_B_20kWh</v>
      </c>
      <c r="B12" s="8">
        <f>Source_Totals!B12</f>
        <v>0.2</v>
      </c>
      <c r="C12" s="3" t="str">
        <f>Source_Totals!C12</f>
        <v>B</v>
      </c>
      <c r="D12" s="3">
        <f>Source_Totals!D12</f>
        <v>20</v>
      </c>
      <c r="E12" s="14">
        <f>Source_Totals!N12-Source_Totals!O12</f>
        <v>338.35255306368015</v>
      </c>
      <c r="F12" s="14">
        <f>Source_Totals!V12*(Source_Totals!H12+Source_Totals!I12)</f>
        <v>244.10542929224195</v>
      </c>
      <c r="G12" s="14">
        <f>E12+F12-Source_Totals!Q12</f>
        <v>1537.9970470239236</v>
      </c>
      <c r="H12" s="14">
        <f>Source_Totals!P12</f>
        <v>789.88403875529298</v>
      </c>
      <c r="I12" s="14">
        <f t="shared" si="0"/>
        <v>-955.53906466800152</v>
      </c>
      <c r="J12" s="14">
        <f t="shared" si="1"/>
        <v>-207.42605639937085</v>
      </c>
      <c r="K12" s="14">
        <f t="shared" si="2"/>
        <v>-748.11300826863067</v>
      </c>
      <c r="L12" s="14">
        <f t="shared" si="3"/>
        <v>748.11300826863067</v>
      </c>
      <c r="M12" s="18">
        <f t="shared" si="4"/>
        <v>0</v>
      </c>
      <c r="N12" s="18">
        <f>Source_Totals!M12-Source_Totals!O12-L12</f>
        <v>0</v>
      </c>
    </row>
    <row r="13" spans="1:14" ht="30.75" customHeight="1">
      <c r="A13" s="5" t="str">
        <f>Source_Totals!A13</f>
        <v>a0.20_B_30kWh</v>
      </c>
      <c r="B13" s="9">
        <f>Source_Totals!B13</f>
        <v>0.2</v>
      </c>
      <c r="C13" s="5" t="str">
        <f>Source_Totals!C13</f>
        <v>B</v>
      </c>
      <c r="D13" s="5">
        <f>Source_Totals!D13</f>
        <v>30</v>
      </c>
      <c r="E13" s="15">
        <f>Source_Totals!N13-Source_Totals!O13</f>
        <v>347.57815847634447</v>
      </c>
      <c r="F13" s="15">
        <f>Source_Totals!V13*(Source_Totals!H13+Source_Totals!I13)</f>
        <v>275.75684063248815</v>
      </c>
      <c r="G13" s="15">
        <f>E13+F13-Source_Totals!Q13</f>
        <v>1580.5359608891893</v>
      </c>
      <c r="H13" s="15">
        <f>Source_Totals!P13</f>
        <v>808.26956103755128</v>
      </c>
      <c r="I13" s="15">
        <f t="shared" si="0"/>
        <v>-957.20096178035669</v>
      </c>
      <c r="J13" s="15">
        <f t="shared" si="1"/>
        <v>-184.93456192871872</v>
      </c>
      <c r="K13" s="15">
        <f t="shared" si="2"/>
        <v>-772.26639985163797</v>
      </c>
      <c r="L13" s="15">
        <f t="shared" si="3"/>
        <v>772.26639985163797</v>
      </c>
      <c r="M13" s="19">
        <f t="shared" si="4"/>
        <v>0</v>
      </c>
      <c r="N13" s="19">
        <f>Source_Totals!M13-Source_Totals!O13-L13</f>
        <v>0</v>
      </c>
    </row>
    <row r="14" spans="1:14" ht="30.75" customHeight="1">
      <c r="A14" s="3" t="str">
        <f>Source_Totals!A14</f>
        <v>a0.20_C_10kWh</v>
      </c>
      <c r="B14" s="8">
        <f>Source_Totals!B14</f>
        <v>0.2</v>
      </c>
      <c r="C14" s="3" t="str">
        <f>Source_Totals!C14</f>
        <v>C</v>
      </c>
      <c r="D14" s="3">
        <f>Source_Totals!D14</f>
        <v>10</v>
      </c>
      <c r="E14" s="14">
        <f>Source_Totals!N14-Source_Totals!O14</f>
        <v>162.0533720998535</v>
      </c>
      <c r="F14" s="14">
        <f>Source_Totals!V14*(Source_Totals!H14+Source_Totals!I14)</f>
        <v>175.83802446352655</v>
      </c>
      <c r="G14" s="14">
        <f>E14+F14-Source_Totals!Q14</f>
        <v>1324.1069061201313</v>
      </c>
      <c r="H14" s="14">
        <f>Source_Totals!P14</f>
        <v>425.79744326922071</v>
      </c>
      <c r="I14" s="14">
        <f t="shared" si="0"/>
        <v>-986.21550955675116</v>
      </c>
      <c r="J14" s="14">
        <f t="shared" si="1"/>
        <v>-87.906046705840652</v>
      </c>
      <c r="K14" s="14">
        <f t="shared" si="2"/>
        <v>-898.30946285091056</v>
      </c>
      <c r="L14" s="14">
        <f t="shared" si="3"/>
        <v>898.30946285091056</v>
      </c>
      <c r="M14" s="18">
        <f t="shared" si="4"/>
        <v>0</v>
      </c>
      <c r="N14" s="18">
        <f>Source_Totals!M14-Source_Totals!O14-L14</f>
        <v>0</v>
      </c>
    </row>
    <row r="15" spans="1:14" ht="30.75" customHeight="1">
      <c r="A15" s="5" t="str">
        <f>Source_Totals!A15</f>
        <v>a0.20_C_15kWh</v>
      </c>
      <c r="B15" s="9">
        <f>Source_Totals!B15</f>
        <v>0.2</v>
      </c>
      <c r="C15" s="5" t="str">
        <f>Source_Totals!C15</f>
        <v>C</v>
      </c>
      <c r="D15" s="5">
        <f>Source_Totals!D15</f>
        <v>15</v>
      </c>
      <c r="E15" s="15">
        <f>Source_Totals!N15-Source_Totals!O15</f>
        <v>163.46520493265768</v>
      </c>
      <c r="F15" s="15">
        <f>Source_Totals!V15*(Source_Totals!H15+Source_Totals!I15)</f>
        <v>240.04078656764977</v>
      </c>
      <c r="G15" s="15">
        <f>E15+F15-Source_Totals!Q15</f>
        <v>1441.8254116973321</v>
      </c>
      <c r="H15" s="15">
        <f>Source_Totals!P15</f>
        <v>459.326113760711</v>
      </c>
      <c r="I15" s="15">
        <f t="shared" si="0"/>
        <v>-1038.3194201970246</v>
      </c>
      <c r="J15" s="15">
        <f t="shared" si="1"/>
        <v>-55.820122260403537</v>
      </c>
      <c r="K15" s="15">
        <f t="shared" si="2"/>
        <v>-982.49929793662113</v>
      </c>
      <c r="L15" s="15">
        <f t="shared" si="3"/>
        <v>982.49929793662113</v>
      </c>
      <c r="M15" s="19">
        <f t="shared" si="4"/>
        <v>0</v>
      </c>
      <c r="N15" s="19">
        <f>Source_Totals!M15-Source_Totals!O15-L15</f>
        <v>0</v>
      </c>
    </row>
    <row r="16" spans="1:14" ht="30.75" customHeight="1">
      <c r="A16" s="3" t="str">
        <f>Source_Totals!A16</f>
        <v>a0.20_C_20kWh</v>
      </c>
      <c r="B16" s="8">
        <f>Source_Totals!B16</f>
        <v>0.2</v>
      </c>
      <c r="C16" s="3" t="str">
        <f>Source_Totals!C16</f>
        <v>C</v>
      </c>
      <c r="D16" s="3">
        <f>Source_Totals!D16</f>
        <v>20</v>
      </c>
      <c r="E16" s="14">
        <f>Source_Totals!N16-Source_Totals!O16</f>
        <v>172.23845409407863</v>
      </c>
      <c r="F16" s="14">
        <f>Source_Totals!V16*(Source_Totals!H16+Source_Totals!I16)</f>
        <v>284.82260781495467</v>
      </c>
      <c r="G16" s="14">
        <f>E16+F16-Source_Totals!Q16</f>
        <v>1525.4398939611585</v>
      </c>
      <c r="H16" s="14">
        <f>Source_Totals!P16</f>
        <v>492.1879351888046</v>
      </c>
      <c r="I16" s="14">
        <f t="shared" si="0"/>
        <v>-1068.3788320521253</v>
      </c>
      <c r="J16" s="14">
        <f t="shared" si="1"/>
        <v>-35.126873279771303</v>
      </c>
      <c r="K16" s="14">
        <f t="shared" si="2"/>
        <v>-1033.2519587723539</v>
      </c>
      <c r="L16" s="14">
        <f t="shared" si="3"/>
        <v>1033.2519587723539</v>
      </c>
      <c r="M16" s="18">
        <f t="shared" si="4"/>
        <v>0</v>
      </c>
      <c r="N16" s="18">
        <f>Source_Totals!M16-Source_Totals!O16-L16</f>
        <v>0</v>
      </c>
    </row>
    <row r="17" spans="1:14" ht="30.75" customHeight="1">
      <c r="A17" s="5" t="str">
        <f>Source_Totals!A17</f>
        <v>a0.20_C_30kWh</v>
      </c>
      <c r="B17" s="9">
        <f>Source_Totals!B17</f>
        <v>0.2</v>
      </c>
      <c r="C17" s="5" t="str">
        <f>Source_Totals!C17</f>
        <v>C</v>
      </c>
      <c r="D17" s="5">
        <f>Source_Totals!D17</f>
        <v>30</v>
      </c>
      <c r="E17" s="15">
        <f>Source_Totals!N17-Source_Totals!O17</f>
        <v>181.77784463619651</v>
      </c>
      <c r="F17" s="15">
        <f>Source_Totals!V17*(Source_Totals!H17+Source_Totals!I17)</f>
        <v>316.62409766477225</v>
      </c>
      <c r="G17" s="15">
        <f>E17+F17-Source_Totals!Q17</f>
        <v>1586.4013306489653</v>
      </c>
      <c r="H17" s="15">
        <f>Source_Totals!P17</f>
        <v>517.37345121846374</v>
      </c>
      <c r="I17" s="15">
        <f t="shared" si="0"/>
        <v>-1087.9993883479965</v>
      </c>
      <c r="J17" s="15">
        <f t="shared" si="1"/>
        <v>-18.971508917494987</v>
      </c>
      <c r="K17" s="15">
        <f t="shared" si="2"/>
        <v>-1069.0278794305016</v>
      </c>
      <c r="L17" s="15">
        <f t="shared" si="3"/>
        <v>1069.0278794305016</v>
      </c>
      <c r="M17" s="19">
        <f t="shared" si="4"/>
        <v>0</v>
      </c>
      <c r="N17" s="19">
        <f>Source_Totals!M17-Source_Totals!O17-L17</f>
        <v>0</v>
      </c>
    </row>
    <row r="18" spans="1:14" ht="30.75" customHeight="1">
      <c r="A18" s="3" t="str">
        <f>Source_Totals!A18</f>
        <v>a0.25_A_10kWh</v>
      </c>
      <c r="B18" s="8">
        <f>Source_Totals!B18</f>
        <v>0.25</v>
      </c>
      <c r="C18" s="3" t="str">
        <f>Source_Totals!C18</f>
        <v>A</v>
      </c>
      <c r="D18" s="3">
        <f>Source_Totals!D18</f>
        <v>10</v>
      </c>
      <c r="E18" s="14">
        <f>Source_Totals!N18-Source_Totals!O18</f>
        <v>170.3469279955134</v>
      </c>
      <c r="F18" s="14">
        <f>Source_Totals!V18*(Source_Totals!H18+Source_Totals!I18)</f>
        <v>53.811882335238316</v>
      </c>
      <c r="G18" s="14">
        <f>E18+F18-Source_Totals!Q18</f>
        <v>1050.2667460230475</v>
      </c>
      <c r="H18" s="14">
        <f>Source_Totals!P18</f>
        <v>480.81206969060258</v>
      </c>
      <c r="I18" s="14">
        <f t="shared" si="0"/>
        <v>-826.10793569229577</v>
      </c>
      <c r="J18" s="14">
        <f t="shared" si="1"/>
        <v>-256.65325935985084</v>
      </c>
      <c r="K18" s="14">
        <f t="shared" si="2"/>
        <v>-569.45467633244493</v>
      </c>
      <c r="L18" s="14">
        <f t="shared" si="3"/>
        <v>569.45467633244493</v>
      </c>
      <c r="M18" s="18">
        <f t="shared" si="4"/>
        <v>0</v>
      </c>
      <c r="N18" s="18">
        <f>Source_Totals!M18-Source_Totals!O18-L18</f>
        <v>0</v>
      </c>
    </row>
    <row r="19" spans="1:14" ht="30.75" customHeight="1">
      <c r="A19" s="5" t="str">
        <f>Source_Totals!A19</f>
        <v>a0.25_A_15kWh</v>
      </c>
      <c r="B19" s="9">
        <f>Source_Totals!B19</f>
        <v>0.25</v>
      </c>
      <c r="C19" s="5" t="str">
        <f>Source_Totals!C19</f>
        <v>A</v>
      </c>
      <c r="D19" s="5">
        <f>Source_Totals!D19</f>
        <v>15</v>
      </c>
      <c r="E19" s="15">
        <f>Source_Totals!N19-Source_Totals!O19</f>
        <v>169.71404584411096</v>
      </c>
      <c r="F19" s="15">
        <f>Source_Totals!V19*(Source_Totals!H19+Source_Totals!I19)</f>
        <v>54.124243228748519</v>
      </c>
      <c r="G19" s="15">
        <f>E19+F19-Source_Totals!Q19</f>
        <v>1049.6934525384797</v>
      </c>
      <c r="H19" s="15">
        <f>Source_Totals!P19</f>
        <v>480.26964258110257</v>
      </c>
      <c r="I19" s="15">
        <f t="shared" si="0"/>
        <v>-825.85516346562031</v>
      </c>
      <c r="J19" s="15">
        <f t="shared" si="1"/>
        <v>-256.43135350824309</v>
      </c>
      <c r="K19" s="15">
        <f t="shared" si="2"/>
        <v>-569.42380995737722</v>
      </c>
      <c r="L19" s="15">
        <f t="shared" si="3"/>
        <v>569.42380995737722</v>
      </c>
      <c r="M19" s="19">
        <f t="shared" si="4"/>
        <v>0</v>
      </c>
      <c r="N19" s="19">
        <f>Source_Totals!M19-Source_Totals!O19-L19</f>
        <v>0</v>
      </c>
    </row>
    <row r="20" spans="1:14" ht="30.75" customHeight="1">
      <c r="A20" s="3" t="str">
        <f>Source_Totals!A20</f>
        <v>a0.25_A_20kWh</v>
      </c>
      <c r="B20" s="8">
        <f>Source_Totals!B20</f>
        <v>0.25</v>
      </c>
      <c r="C20" s="3" t="str">
        <f>Source_Totals!C20</f>
        <v>A</v>
      </c>
      <c r="D20" s="3">
        <f>Source_Totals!D20</f>
        <v>20</v>
      </c>
      <c r="E20" s="14">
        <f>Source_Totals!N20-Source_Totals!O20</f>
        <v>169.67985084583677</v>
      </c>
      <c r="F20" s="14">
        <f>Source_Totals!V20*(Source_Totals!H20+Source_Totals!I20)</f>
        <v>54.182039991345462</v>
      </c>
      <c r="G20" s="14">
        <f>E20+F20-Source_Totals!Q20</f>
        <v>1049.5973046566701</v>
      </c>
      <c r="H20" s="14">
        <f>Source_Totals!P20</f>
        <v>480.18560647547622</v>
      </c>
      <c r="I20" s="14">
        <f t="shared" si="0"/>
        <v>-825.7354138194878</v>
      </c>
      <c r="J20" s="14">
        <f t="shared" si="1"/>
        <v>-256.323715638294</v>
      </c>
      <c r="K20" s="14">
        <f t="shared" si="2"/>
        <v>-569.41169818119386</v>
      </c>
      <c r="L20" s="14">
        <f t="shared" si="3"/>
        <v>569.41169818119386</v>
      </c>
      <c r="M20" s="18">
        <f t="shared" si="4"/>
        <v>0</v>
      </c>
      <c r="N20" s="18">
        <f>Source_Totals!M20-Source_Totals!O20-L20</f>
        <v>0</v>
      </c>
    </row>
    <row r="21" spans="1:14" ht="30.75" customHeight="1">
      <c r="A21" s="5" t="str">
        <f>Source_Totals!A21</f>
        <v>a0.25_A_30kWh</v>
      </c>
      <c r="B21" s="9">
        <f>Source_Totals!B21</f>
        <v>0.25</v>
      </c>
      <c r="C21" s="5" t="str">
        <f>Source_Totals!C21</f>
        <v>A</v>
      </c>
      <c r="D21" s="5">
        <f>Source_Totals!D21</f>
        <v>30</v>
      </c>
      <c r="E21" s="15">
        <f>Source_Totals!N21-Source_Totals!O21</f>
        <v>169.67985084583677</v>
      </c>
      <c r="F21" s="15">
        <f>Source_Totals!V21*(Source_Totals!H21+Source_Totals!I21)</f>
        <v>54.265993632614119</v>
      </c>
      <c r="G21" s="15">
        <f>E21+F21-Source_Totals!Q21</f>
        <v>1049.4549453776788</v>
      </c>
      <c r="H21" s="15">
        <f>Source_Totals!P21</f>
        <v>480.08142385694816</v>
      </c>
      <c r="I21" s="15">
        <f t="shared" si="0"/>
        <v>-825.50910089922786</v>
      </c>
      <c r="J21" s="15">
        <f t="shared" si="1"/>
        <v>-256.13557937849725</v>
      </c>
      <c r="K21" s="15">
        <f t="shared" si="2"/>
        <v>-569.37352152073061</v>
      </c>
      <c r="L21" s="15">
        <f t="shared" si="3"/>
        <v>569.37352152073061</v>
      </c>
      <c r="M21" s="19">
        <f t="shared" si="4"/>
        <v>0</v>
      </c>
      <c r="N21" s="19">
        <f>Source_Totals!M21-Source_Totals!O21-L21</f>
        <v>0</v>
      </c>
    </row>
    <row r="22" spans="1:14" ht="30.75" customHeight="1">
      <c r="A22" s="3" t="str">
        <f>Source_Totals!A22</f>
        <v>a0.25_B_10kWh</v>
      </c>
      <c r="B22" s="8">
        <f>Source_Totals!B22</f>
        <v>0.25</v>
      </c>
      <c r="C22" s="3" t="str">
        <f>Source_Totals!C22</f>
        <v>B</v>
      </c>
      <c r="D22" s="3">
        <f>Source_Totals!D22</f>
        <v>10</v>
      </c>
      <c r="E22" s="14">
        <f>Source_Totals!N22-Source_Totals!O22</f>
        <v>327.36439767488093</v>
      </c>
      <c r="F22" s="14">
        <f>Source_Totals!V22*(Source_Totals!H22+Source_Totals!I22)</f>
        <v>161.15871442373751</v>
      </c>
      <c r="G22" s="14">
        <f>E22+F22-Source_Totals!Q22</f>
        <v>1396.3449607304656</v>
      </c>
      <c r="H22" s="14">
        <f>Source_Totals!P22</f>
        <v>762.17559384027129</v>
      </c>
      <c r="I22" s="14">
        <f t="shared" si="0"/>
        <v>-907.82184863184716</v>
      </c>
      <c r="J22" s="14">
        <f t="shared" si="1"/>
        <v>-273.65248174165288</v>
      </c>
      <c r="K22" s="14">
        <f t="shared" si="2"/>
        <v>-634.16936689019428</v>
      </c>
      <c r="L22" s="14">
        <f t="shared" si="3"/>
        <v>634.16936689019428</v>
      </c>
      <c r="M22" s="18">
        <f t="shared" si="4"/>
        <v>0</v>
      </c>
      <c r="N22" s="18">
        <f>Source_Totals!M22-Source_Totals!O22-L22</f>
        <v>0</v>
      </c>
    </row>
    <row r="23" spans="1:14" ht="30.75" customHeight="1">
      <c r="A23" s="5" t="str">
        <f>Source_Totals!A23</f>
        <v>a0.25_B_15kWh</v>
      </c>
      <c r="B23" s="9">
        <f>Source_Totals!B23</f>
        <v>0.25</v>
      </c>
      <c r="C23" s="5" t="str">
        <f>Source_Totals!C23</f>
        <v>B</v>
      </c>
      <c r="D23" s="5">
        <f>Source_Totals!D23</f>
        <v>15</v>
      </c>
      <c r="E23" s="15">
        <f>Source_Totals!N23-Source_Totals!O23</f>
        <v>333.04883856362744</v>
      </c>
      <c r="F23" s="15">
        <f>Source_Totals!V23*(Source_Totals!H23+Source_Totals!I23)</f>
        <v>210.43092158125816</v>
      </c>
      <c r="G23" s="15">
        <f>E23+F23-Source_Totals!Q23</f>
        <v>1486.4026160524656</v>
      </c>
      <c r="H23" s="15">
        <f>Source_Totals!P23</f>
        <v>767.46080106335842</v>
      </c>
      <c r="I23" s="15">
        <f t="shared" si="0"/>
        <v>-942.92285590758001</v>
      </c>
      <c r="J23" s="15">
        <f t="shared" si="1"/>
        <v>-223.98104091847279</v>
      </c>
      <c r="K23" s="15">
        <f t="shared" si="2"/>
        <v>-718.94181498910723</v>
      </c>
      <c r="L23" s="15">
        <f t="shared" si="3"/>
        <v>718.94181498910723</v>
      </c>
      <c r="M23" s="19">
        <f t="shared" si="4"/>
        <v>0</v>
      </c>
      <c r="N23" s="19">
        <f>Source_Totals!M23-Source_Totals!O23-L23</f>
        <v>0</v>
      </c>
    </row>
    <row r="24" spans="1:14" ht="30.75" customHeight="1">
      <c r="A24" s="3" t="str">
        <f>Source_Totals!A24</f>
        <v>a0.25_B_20kWh</v>
      </c>
      <c r="B24" s="8">
        <f>Source_Totals!B24</f>
        <v>0.25</v>
      </c>
      <c r="C24" s="3" t="str">
        <f>Source_Totals!C24</f>
        <v>B</v>
      </c>
      <c r="D24" s="3">
        <f>Source_Totals!D24</f>
        <v>20</v>
      </c>
      <c r="E24" s="14">
        <f>Source_Totals!N24-Source_Totals!O24</f>
        <v>335.16173101913887</v>
      </c>
      <c r="F24" s="14">
        <f>Source_Totals!V24*(Source_Totals!H24+Source_Totals!I24)</f>
        <v>244.1034355764908</v>
      </c>
      <c r="G24" s="14">
        <f>E24+F24-Source_Totals!Q24</f>
        <v>1535.1353194313722</v>
      </c>
      <c r="H24" s="14">
        <f>Source_Totals!P24</f>
        <v>786.85479258138116</v>
      </c>
      <c r="I24" s="14">
        <f t="shared" si="0"/>
        <v>-955.87015283574249</v>
      </c>
      <c r="J24" s="14">
        <f t="shared" si="1"/>
        <v>-207.58962598575147</v>
      </c>
      <c r="K24" s="14">
        <f t="shared" si="2"/>
        <v>-748.28052684999102</v>
      </c>
      <c r="L24" s="14">
        <f t="shared" si="3"/>
        <v>748.28052684999102</v>
      </c>
      <c r="M24" s="18">
        <f t="shared" si="4"/>
        <v>0</v>
      </c>
      <c r="N24" s="18">
        <f>Source_Totals!M24-Source_Totals!O24-L24</f>
        <v>0</v>
      </c>
    </row>
    <row r="25" spans="1:14" ht="30.75" customHeight="1">
      <c r="A25" s="5" t="str">
        <f>Source_Totals!A25</f>
        <v>a0.25_B_30kWh</v>
      </c>
      <c r="B25" s="9">
        <f>Source_Totals!B25</f>
        <v>0.25</v>
      </c>
      <c r="C25" s="5" t="str">
        <f>Source_Totals!C25</f>
        <v>B</v>
      </c>
      <c r="D25" s="5">
        <f>Source_Totals!D25</f>
        <v>30</v>
      </c>
      <c r="E25" s="15">
        <f>Source_Totals!N25-Source_Totals!O25</f>
        <v>344.38514634865032</v>
      </c>
      <c r="F25" s="15">
        <f>Source_Totals!V25*(Source_Totals!H25+Source_Totals!I25)</f>
        <v>275.75484524744229</v>
      </c>
      <c r="G25" s="15">
        <f>E25+F25-Source_Totals!Q25</f>
        <v>1577.6785666816618</v>
      </c>
      <c r="H25" s="15">
        <f>Source_Totals!P25</f>
        <v>805.2913891963301</v>
      </c>
      <c r="I25" s="15">
        <f t="shared" si="0"/>
        <v>-957.53857508556916</v>
      </c>
      <c r="J25" s="15">
        <f t="shared" si="1"/>
        <v>-185.15139760023749</v>
      </c>
      <c r="K25" s="15">
        <f t="shared" si="2"/>
        <v>-772.38717748533168</v>
      </c>
      <c r="L25" s="15">
        <f t="shared" si="3"/>
        <v>772.38717748533168</v>
      </c>
      <c r="M25" s="19">
        <f t="shared" si="4"/>
        <v>0</v>
      </c>
      <c r="N25" s="19">
        <f>Source_Totals!M25-Source_Totals!O25-L25</f>
        <v>0</v>
      </c>
    </row>
    <row r="26" spans="1:14" ht="30.75" customHeight="1">
      <c r="A26" s="3" t="str">
        <f>Source_Totals!A26</f>
        <v>a0.25_C_10kWh</v>
      </c>
      <c r="B26" s="8">
        <f>Source_Totals!B26</f>
        <v>0.25</v>
      </c>
      <c r="C26" s="3" t="str">
        <f>Source_Totals!C26</f>
        <v>C</v>
      </c>
      <c r="D26" s="3">
        <f>Source_Totals!D26</f>
        <v>10</v>
      </c>
      <c r="E26" s="14">
        <f>Source_Totals!N26-Source_Totals!O26</f>
        <v>162.05337209985328</v>
      </c>
      <c r="F26" s="14">
        <f>Source_Totals!V26*(Source_Totals!H26+Source_Totals!I26)</f>
        <v>175.83802446352655</v>
      </c>
      <c r="G26" s="14">
        <f>E26+F26-Source_Totals!Q26</f>
        <v>1324.106906120131</v>
      </c>
      <c r="H26" s="14">
        <f>Source_Totals!P26</f>
        <v>425.79744326922071</v>
      </c>
      <c r="I26" s="14">
        <f t="shared" si="0"/>
        <v>-986.21550955675116</v>
      </c>
      <c r="J26" s="14">
        <f t="shared" si="1"/>
        <v>-87.906046705840879</v>
      </c>
      <c r="K26" s="14">
        <f t="shared" si="2"/>
        <v>-898.30946285091034</v>
      </c>
      <c r="L26" s="14">
        <f t="shared" si="3"/>
        <v>898.30946285091034</v>
      </c>
      <c r="M26" s="18">
        <f t="shared" si="4"/>
        <v>0</v>
      </c>
      <c r="N26" s="18">
        <f>Source_Totals!M26-Source_Totals!O26-L26</f>
        <v>0</v>
      </c>
    </row>
    <row r="27" spans="1:14" ht="30.75" customHeight="1">
      <c r="A27" s="5" t="str">
        <f>Source_Totals!A27</f>
        <v>a0.25_C_15kWh</v>
      </c>
      <c r="B27" s="9">
        <f>Source_Totals!B27</f>
        <v>0.25</v>
      </c>
      <c r="C27" s="5" t="str">
        <f>Source_Totals!C27</f>
        <v>C</v>
      </c>
      <c r="D27" s="5">
        <f>Source_Totals!D27</f>
        <v>15</v>
      </c>
      <c r="E27" s="15">
        <f>Source_Totals!N27-Source_Totals!O27</f>
        <v>163.46520493265757</v>
      </c>
      <c r="F27" s="15">
        <f>Source_Totals!V27*(Source_Totals!H27+Source_Totals!I27)</f>
        <v>240.04078656764977</v>
      </c>
      <c r="G27" s="15">
        <f>E27+F27-Source_Totals!Q27</f>
        <v>1441.8254116973319</v>
      </c>
      <c r="H27" s="15">
        <f>Source_Totals!P27</f>
        <v>459.326113760711</v>
      </c>
      <c r="I27" s="15">
        <f t="shared" si="0"/>
        <v>-1038.3194201970246</v>
      </c>
      <c r="J27" s="15">
        <f t="shared" si="1"/>
        <v>-55.82012226040365</v>
      </c>
      <c r="K27" s="15">
        <f t="shared" si="2"/>
        <v>-982.49929793662091</v>
      </c>
      <c r="L27" s="15">
        <f t="shared" si="3"/>
        <v>982.49929793662091</v>
      </c>
      <c r="M27" s="19">
        <f t="shared" si="4"/>
        <v>0</v>
      </c>
      <c r="N27" s="19">
        <f>Source_Totals!M27-Source_Totals!O27-L27</f>
        <v>0</v>
      </c>
    </row>
    <row r="28" spans="1:14" ht="30.75" customHeight="1">
      <c r="A28" s="3" t="str">
        <f>Source_Totals!A28</f>
        <v>a0.25_C_20kWh</v>
      </c>
      <c r="B28" s="8">
        <f>Source_Totals!B28</f>
        <v>0.25</v>
      </c>
      <c r="C28" s="3" t="str">
        <f>Source_Totals!C28</f>
        <v>C</v>
      </c>
      <c r="D28" s="3">
        <f>Source_Totals!D28</f>
        <v>20</v>
      </c>
      <c r="E28" s="14">
        <f>Source_Totals!N28-Source_Totals!O28</f>
        <v>172.23845409407852</v>
      </c>
      <c r="F28" s="14">
        <f>Source_Totals!V28*(Source_Totals!H28+Source_Totals!I28)</f>
        <v>284.82260781495467</v>
      </c>
      <c r="G28" s="14">
        <f>E28+F28-Source_Totals!Q28</f>
        <v>1525.4398939611585</v>
      </c>
      <c r="H28" s="14">
        <f>Source_Totals!P28</f>
        <v>492.1879351888046</v>
      </c>
      <c r="I28" s="14">
        <f t="shared" si="0"/>
        <v>-1068.3788320521253</v>
      </c>
      <c r="J28" s="14">
        <f t="shared" si="1"/>
        <v>-35.126873279771416</v>
      </c>
      <c r="K28" s="14">
        <f t="shared" si="2"/>
        <v>-1033.2519587723539</v>
      </c>
      <c r="L28" s="14">
        <f t="shared" si="3"/>
        <v>1033.2519587723539</v>
      </c>
      <c r="M28" s="18">
        <f t="shared" si="4"/>
        <v>0</v>
      </c>
      <c r="N28" s="18">
        <f>Source_Totals!M28-Source_Totals!O28-L28</f>
        <v>0</v>
      </c>
    </row>
    <row r="29" spans="1:14" ht="30.75" customHeight="1">
      <c r="A29" s="5" t="str">
        <f>Source_Totals!A29</f>
        <v>a0.25_C_30kWh</v>
      </c>
      <c r="B29" s="9">
        <f>Source_Totals!B29</f>
        <v>0.25</v>
      </c>
      <c r="C29" s="5" t="str">
        <f>Source_Totals!C29</f>
        <v>C</v>
      </c>
      <c r="D29" s="5">
        <f>Source_Totals!D29</f>
        <v>30</v>
      </c>
      <c r="E29" s="15">
        <f>Source_Totals!N29-Source_Totals!O29</f>
        <v>181.77784463619662</v>
      </c>
      <c r="F29" s="15">
        <f>Source_Totals!V29*(Source_Totals!H29+Source_Totals!I29)</f>
        <v>316.62409766477225</v>
      </c>
      <c r="G29" s="15">
        <f>E29+F29-Source_Totals!Q29</f>
        <v>1586.4013306489653</v>
      </c>
      <c r="H29" s="15">
        <f>Source_Totals!P29</f>
        <v>517.37345121846374</v>
      </c>
      <c r="I29" s="15">
        <f t="shared" si="0"/>
        <v>-1087.9993883479965</v>
      </c>
      <c r="J29" s="15">
        <f t="shared" si="1"/>
        <v>-18.971508917494873</v>
      </c>
      <c r="K29" s="15">
        <f t="shared" si="2"/>
        <v>-1069.0278794305016</v>
      </c>
      <c r="L29" s="15">
        <f t="shared" si="3"/>
        <v>1069.0278794305016</v>
      </c>
      <c r="M29" s="19">
        <f t="shared" si="4"/>
        <v>0</v>
      </c>
      <c r="N29" s="19">
        <f>Source_Totals!M29-Source_Totals!O29-L29</f>
        <v>0</v>
      </c>
    </row>
    <row r="30" spans="1:14" ht="30.75" customHeight="1">
      <c r="A30" s="3" t="str">
        <f>Source_Totals!A30</f>
        <v>a0.30_A_10kWh</v>
      </c>
      <c r="B30" s="8">
        <f>Source_Totals!B30</f>
        <v>0.3</v>
      </c>
      <c r="C30" s="3" t="str">
        <f>Source_Totals!C30</f>
        <v>A</v>
      </c>
      <c r="D30" s="3">
        <f>Source_Totals!D30</f>
        <v>10</v>
      </c>
      <c r="E30" s="14">
        <f>Source_Totals!N30-Source_Totals!O30</f>
        <v>168.92295203395565</v>
      </c>
      <c r="F30" s="14">
        <f>Source_Totals!V30*(Source_Totals!H30+Source_Totals!I30)</f>
        <v>51.008225472328945</v>
      </c>
      <c r="G30" s="14">
        <f>E30+F30-Source_Totals!Q30</f>
        <v>1042.8798115077545</v>
      </c>
      <c r="H30" s="14">
        <f>Source_Totals!P30</f>
        <v>483.05529065054407</v>
      </c>
      <c r="I30" s="14">
        <f t="shared" si="0"/>
        <v>-822.94863400146994</v>
      </c>
      <c r="J30" s="14">
        <f t="shared" si="1"/>
        <v>-263.12411314425947</v>
      </c>
      <c r="K30" s="14">
        <f t="shared" si="2"/>
        <v>-559.82452085721047</v>
      </c>
      <c r="L30" s="14">
        <f t="shared" si="3"/>
        <v>559.82452085721047</v>
      </c>
      <c r="M30" s="18">
        <f t="shared" si="4"/>
        <v>0</v>
      </c>
      <c r="N30" s="18">
        <f>Source_Totals!M30-Source_Totals!O30-L30</f>
        <v>0</v>
      </c>
    </row>
    <row r="31" spans="1:14" ht="30.75" customHeight="1">
      <c r="A31" s="5" t="str">
        <f>Source_Totals!A31</f>
        <v>a0.30_A_15kWh</v>
      </c>
      <c r="B31" s="9">
        <f>Source_Totals!B31</f>
        <v>0.3</v>
      </c>
      <c r="C31" s="5" t="str">
        <f>Source_Totals!C31</f>
        <v>A</v>
      </c>
      <c r="D31" s="5">
        <f>Source_Totals!D31</f>
        <v>15</v>
      </c>
      <c r="E31" s="15">
        <f>Source_Totals!N31-Source_Totals!O31</f>
        <v>168.30128622830944</v>
      </c>
      <c r="F31" s="15">
        <f>Source_Totals!V31*(Source_Totals!H31+Source_Totals!I31)</f>
        <v>51.315987221304745</v>
      </c>
      <c r="G31" s="15">
        <f>E31+F31-Source_Totals!Q31</f>
        <v>1042.3140925360419</v>
      </c>
      <c r="H31" s="15">
        <f>Source_Totals!P31</f>
        <v>482.52272905425889</v>
      </c>
      <c r="I31" s="15">
        <f t="shared" si="0"/>
        <v>-822.69681908642769</v>
      </c>
      <c r="J31" s="15">
        <f t="shared" si="1"/>
        <v>-262.90545560464471</v>
      </c>
      <c r="K31" s="15">
        <f t="shared" si="2"/>
        <v>-559.79136348178304</v>
      </c>
      <c r="L31" s="15">
        <f t="shared" si="3"/>
        <v>559.79136348178304</v>
      </c>
      <c r="M31" s="19">
        <f t="shared" si="4"/>
        <v>0</v>
      </c>
      <c r="N31" s="19">
        <f>Source_Totals!M31-Source_Totals!O31-L31</f>
        <v>0</v>
      </c>
    </row>
    <row r="32" spans="1:14" ht="30.75" customHeight="1">
      <c r="A32" s="3" t="str">
        <f>Source_Totals!A32</f>
        <v>a0.30_A_20kWh</v>
      </c>
      <c r="B32" s="8">
        <f>Source_Totals!B32</f>
        <v>0.3</v>
      </c>
      <c r="C32" s="3" t="str">
        <f>Source_Totals!C32</f>
        <v>A</v>
      </c>
      <c r="D32" s="3">
        <f>Source_Totals!D32</f>
        <v>20</v>
      </c>
      <c r="E32" s="14">
        <f>Source_Totals!N32-Source_Totals!O32</f>
        <v>168.30128622830944</v>
      </c>
      <c r="F32" s="14">
        <f>Source_Totals!V32*(Source_Totals!H32+Source_Totals!I32)</f>
        <v>51.357964194769188</v>
      </c>
      <c r="G32" s="14">
        <f>E32+F32-Source_Totals!Q32</f>
        <v>1042.2463156051138</v>
      </c>
      <c r="H32" s="14">
        <f>Source_Totals!P32</f>
        <v>482.46808295238748</v>
      </c>
      <c r="I32" s="14">
        <f t="shared" si="0"/>
        <v>-822.58706518203508</v>
      </c>
      <c r="J32" s="14">
        <f t="shared" si="1"/>
        <v>-262.80883252930886</v>
      </c>
      <c r="K32" s="14">
        <f t="shared" si="2"/>
        <v>-559.77823265272627</v>
      </c>
      <c r="L32" s="14">
        <f t="shared" si="3"/>
        <v>559.77823265272627</v>
      </c>
      <c r="M32" s="18">
        <f t="shared" si="4"/>
        <v>0</v>
      </c>
      <c r="N32" s="18">
        <f>Source_Totals!M32-Source_Totals!O32-L32</f>
        <v>0</v>
      </c>
    </row>
    <row r="33" spans="1:14" ht="30.75" customHeight="1">
      <c r="A33" s="5" t="str">
        <f>Source_Totals!A33</f>
        <v>a0.30_A_30kWh</v>
      </c>
      <c r="B33" s="9">
        <f>Source_Totals!B33</f>
        <v>0.3</v>
      </c>
      <c r="C33" s="5" t="str">
        <f>Source_Totals!C33</f>
        <v>A</v>
      </c>
      <c r="D33" s="5">
        <f>Source_Totals!D33</f>
        <v>30</v>
      </c>
      <c r="E33" s="15">
        <f>Source_Totals!N33-Source_Totals!O33</f>
        <v>168.30128622830966</v>
      </c>
      <c r="F33" s="15">
        <f>Source_Totals!V33*(Source_Totals!H33+Source_Totals!I33)</f>
        <v>51.441917890182673</v>
      </c>
      <c r="G33" s="15">
        <f>E33+F33-Source_Totals!Q33</f>
        <v>1042.1038051915816</v>
      </c>
      <c r="H33" s="15">
        <f>Source_Totals!P33</f>
        <v>482.35711329107107</v>
      </c>
      <c r="I33" s="15">
        <f t="shared" si="0"/>
        <v>-822.36060107308924</v>
      </c>
      <c r="J33" s="15">
        <f t="shared" si="1"/>
        <v>-262.6139091725787</v>
      </c>
      <c r="K33" s="15">
        <f t="shared" si="2"/>
        <v>-559.74669190051054</v>
      </c>
      <c r="L33" s="15">
        <f t="shared" si="3"/>
        <v>559.74669190051054</v>
      </c>
      <c r="M33" s="19">
        <f t="shared" si="4"/>
        <v>0</v>
      </c>
      <c r="N33" s="19">
        <f>Source_Totals!M33-Source_Totals!O33-L33</f>
        <v>0</v>
      </c>
    </row>
    <row r="34" spans="1:14" ht="30.75" customHeight="1">
      <c r="A34" s="3" t="str">
        <f>Source_Totals!A34</f>
        <v>a0.30_B_10kWh</v>
      </c>
      <c r="B34" s="8">
        <f>Source_Totals!B34</f>
        <v>0.3</v>
      </c>
      <c r="C34" s="3" t="str">
        <f>Source_Totals!C34</f>
        <v>B</v>
      </c>
      <c r="D34" s="3">
        <f>Source_Totals!D34</f>
        <v>10</v>
      </c>
      <c r="E34" s="14">
        <f>Source_Totals!N34-Source_Totals!O34</f>
        <v>324.614779838</v>
      </c>
      <c r="F34" s="14">
        <f>Source_Totals!V34*(Source_Totals!H34+Source_Totals!I34)</f>
        <v>161.15808429242222</v>
      </c>
      <c r="G34" s="14">
        <f>E34+F34-Source_Totals!Q34</f>
        <v>1393.8073774877446</v>
      </c>
      <c r="H34" s="14">
        <f>Source_Totals!P34</f>
        <v>759.72618343882255</v>
      </c>
      <c r="I34" s="14">
        <f t="shared" si="0"/>
        <v>-908.03451335732234</v>
      </c>
      <c r="J34" s="14">
        <f t="shared" si="1"/>
        <v>-273.9533193084003</v>
      </c>
      <c r="K34" s="14">
        <f t="shared" si="2"/>
        <v>-634.08119404892204</v>
      </c>
      <c r="L34" s="14">
        <f t="shared" si="3"/>
        <v>634.08119404892204</v>
      </c>
      <c r="M34" s="18">
        <f t="shared" si="4"/>
        <v>0</v>
      </c>
      <c r="N34" s="18">
        <f>Source_Totals!M34-Source_Totals!O34-L34</f>
        <v>0</v>
      </c>
    </row>
    <row r="35" spans="1:14" ht="30.75" customHeight="1">
      <c r="A35" s="5" t="str">
        <f>Source_Totals!A35</f>
        <v>a0.30_B_15kWh</v>
      </c>
      <c r="B35" s="9">
        <f>Source_Totals!B35</f>
        <v>0.3</v>
      </c>
      <c r="C35" s="5" t="str">
        <f>Source_Totals!C35</f>
        <v>B</v>
      </c>
      <c r="D35" s="5">
        <f>Source_Totals!D35</f>
        <v>15</v>
      </c>
      <c r="E35" s="15">
        <f>Source_Totals!N35-Source_Totals!O35</f>
        <v>330.84351218146048</v>
      </c>
      <c r="F35" s="15">
        <f>Source_Totals!V35*(Source_Totals!H35+Source_Totals!I35)</f>
        <v>210.43029083827824</v>
      </c>
      <c r="G35" s="15">
        <f>E35+F35-Source_Totals!Q35</f>
        <v>1484.4137560606978</v>
      </c>
      <c r="H35" s="15">
        <f>Source_Totals!P35</f>
        <v>765.37278835570044</v>
      </c>
      <c r="I35" s="15">
        <f t="shared" si="0"/>
        <v>-943.13995304095909</v>
      </c>
      <c r="J35" s="15">
        <f t="shared" si="1"/>
        <v>-224.09898533596174</v>
      </c>
      <c r="K35" s="15">
        <f t="shared" si="2"/>
        <v>-719.04096770499734</v>
      </c>
      <c r="L35" s="15">
        <f t="shared" si="3"/>
        <v>719.04096770499734</v>
      </c>
      <c r="M35" s="19">
        <f t="shared" si="4"/>
        <v>0</v>
      </c>
      <c r="N35" s="19">
        <f>Source_Totals!M35-Source_Totals!O35-L35</f>
        <v>0</v>
      </c>
    </row>
    <row r="36" spans="1:14" ht="30.75" customHeight="1">
      <c r="A36" s="3" t="str">
        <f>Source_Totals!A36</f>
        <v>a0.30_B_20kWh</v>
      </c>
      <c r="B36" s="8">
        <f>Source_Totals!B36</f>
        <v>0.3</v>
      </c>
      <c r="C36" s="3" t="str">
        <f>Source_Totals!C36</f>
        <v>B</v>
      </c>
      <c r="D36" s="3">
        <f>Source_Totals!D36</f>
        <v>20</v>
      </c>
      <c r="E36" s="14">
        <f>Source_Totals!N36-Source_Totals!O36</f>
        <v>333.05102140528675</v>
      </c>
      <c r="F36" s="14">
        <f>Source_Totals!V36*(Source_Totals!H36+Source_Totals!I36)</f>
        <v>244.10210658504406</v>
      </c>
      <c r="G36" s="14">
        <f>E36+F36-Source_Totals!Q36</f>
        <v>1533.2447949645414</v>
      </c>
      <c r="H36" s="14">
        <f>Source_Totals!P36</f>
        <v>784.86006173967553</v>
      </c>
      <c r="I36" s="14">
        <f t="shared" si="0"/>
        <v>-956.09166697421051</v>
      </c>
      <c r="J36" s="14">
        <f t="shared" si="1"/>
        <v>-207.70693374934467</v>
      </c>
      <c r="K36" s="14">
        <f t="shared" si="2"/>
        <v>-748.38473322486584</v>
      </c>
      <c r="L36" s="14">
        <f t="shared" si="3"/>
        <v>748.38473322486584</v>
      </c>
      <c r="M36" s="18">
        <f t="shared" si="4"/>
        <v>0</v>
      </c>
      <c r="N36" s="18">
        <f>Source_Totals!M36-Source_Totals!O36-L36</f>
        <v>0</v>
      </c>
    </row>
    <row r="37" spans="1:14" ht="30.75" customHeight="1">
      <c r="A37" s="5" t="str">
        <f>Source_Totals!A37</f>
        <v>a0.30_B_30kWh</v>
      </c>
      <c r="B37" s="9">
        <f>Source_Totals!B37</f>
        <v>0.3</v>
      </c>
      <c r="C37" s="5" t="str">
        <f>Source_Totals!C37</f>
        <v>B</v>
      </c>
      <c r="D37" s="5">
        <f>Source_Totals!D37</f>
        <v>30</v>
      </c>
      <c r="E37" s="15">
        <f>Source_Totals!N37-Source_Totals!O37</f>
        <v>342.26863913490865</v>
      </c>
      <c r="F37" s="15">
        <f>Source_Totals!V37*(Source_Totals!H37+Source_Totals!I37)</f>
        <v>275.7535152710783</v>
      </c>
      <c r="G37" s="15">
        <f>E37+F37-Source_Totals!Q37</f>
        <v>1575.7850849994697</v>
      </c>
      <c r="H37" s="15">
        <f>Source_Totals!P37</f>
        <v>803.3338662608985</v>
      </c>
      <c r="I37" s="15">
        <f t="shared" si="0"/>
        <v>-957.76293059348279</v>
      </c>
      <c r="J37" s="15">
        <f t="shared" si="1"/>
        <v>-185.31171185491155</v>
      </c>
      <c r="K37" s="15">
        <f t="shared" si="2"/>
        <v>-772.45121873857124</v>
      </c>
      <c r="L37" s="15">
        <f t="shared" si="3"/>
        <v>772.45121873857124</v>
      </c>
      <c r="M37" s="19">
        <f t="shared" si="4"/>
        <v>0</v>
      </c>
      <c r="N37" s="19">
        <f>Source_Totals!M37-Source_Totals!O37-L37</f>
        <v>0</v>
      </c>
    </row>
    <row r="38" spans="1:14" ht="30.75" customHeight="1">
      <c r="A38" s="3" t="str">
        <f>Source_Totals!A38</f>
        <v>a0.30_C_10kWh</v>
      </c>
      <c r="B38" s="8">
        <f>Source_Totals!B38</f>
        <v>0.3</v>
      </c>
      <c r="C38" s="3" t="str">
        <f>Source_Totals!C38</f>
        <v>C</v>
      </c>
      <c r="D38" s="3">
        <f>Source_Totals!D38</f>
        <v>10</v>
      </c>
      <c r="E38" s="14">
        <f>Source_Totals!N38-Source_Totals!O38</f>
        <v>162.0533720998535</v>
      </c>
      <c r="F38" s="14">
        <f>Source_Totals!V38*(Source_Totals!H38+Source_Totals!I38)</f>
        <v>175.83802446352655</v>
      </c>
      <c r="G38" s="14">
        <f>E38+F38-Source_Totals!Q38</f>
        <v>1324.1069061201313</v>
      </c>
      <c r="H38" s="14">
        <f>Source_Totals!P38</f>
        <v>425.79744326922071</v>
      </c>
      <c r="I38" s="14">
        <f t="shared" si="0"/>
        <v>-986.21550955675116</v>
      </c>
      <c r="J38" s="14">
        <f t="shared" si="1"/>
        <v>-87.906046705840652</v>
      </c>
      <c r="K38" s="14">
        <f t="shared" si="2"/>
        <v>-898.30946285091056</v>
      </c>
      <c r="L38" s="14">
        <f t="shared" si="3"/>
        <v>898.30946285091056</v>
      </c>
      <c r="M38" s="18">
        <f t="shared" si="4"/>
        <v>0</v>
      </c>
      <c r="N38" s="18">
        <f>Source_Totals!M38-Source_Totals!O38-L38</f>
        <v>0</v>
      </c>
    </row>
    <row r="39" spans="1:14" ht="30.75" customHeight="1">
      <c r="A39" s="5" t="str">
        <f>Source_Totals!A39</f>
        <v>a0.30_C_15kWh</v>
      </c>
      <c r="B39" s="9">
        <f>Source_Totals!B39</f>
        <v>0.3</v>
      </c>
      <c r="C39" s="5" t="str">
        <f>Source_Totals!C39</f>
        <v>C</v>
      </c>
      <c r="D39" s="5">
        <f>Source_Totals!D39</f>
        <v>15</v>
      </c>
      <c r="E39" s="15">
        <f>Source_Totals!N39-Source_Totals!O39</f>
        <v>163.46520493265757</v>
      </c>
      <c r="F39" s="15">
        <f>Source_Totals!V39*(Source_Totals!H39+Source_Totals!I39)</f>
        <v>240.04078656764977</v>
      </c>
      <c r="G39" s="15">
        <f>E39+F39-Source_Totals!Q39</f>
        <v>1441.8254116973319</v>
      </c>
      <c r="H39" s="15">
        <f>Source_Totals!P39</f>
        <v>459.326113760711</v>
      </c>
      <c r="I39" s="15">
        <f t="shared" si="0"/>
        <v>-1038.3194201970246</v>
      </c>
      <c r="J39" s="15">
        <f t="shared" si="1"/>
        <v>-55.82012226040365</v>
      </c>
      <c r="K39" s="15">
        <f t="shared" si="2"/>
        <v>-982.49929793662091</v>
      </c>
      <c r="L39" s="15">
        <f t="shared" si="3"/>
        <v>982.49929793662091</v>
      </c>
      <c r="M39" s="19">
        <f t="shared" si="4"/>
        <v>0</v>
      </c>
      <c r="N39" s="19">
        <f>Source_Totals!M39-Source_Totals!O39-L39</f>
        <v>0</v>
      </c>
    </row>
    <row r="40" spans="1:14" ht="30.75" customHeight="1">
      <c r="A40" s="3" t="str">
        <f>Source_Totals!A40</f>
        <v>a0.30_C_20kWh</v>
      </c>
      <c r="B40" s="8">
        <f>Source_Totals!B40</f>
        <v>0.3</v>
      </c>
      <c r="C40" s="3" t="str">
        <f>Source_Totals!C40</f>
        <v>C</v>
      </c>
      <c r="D40" s="3">
        <f>Source_Totals!D40</f>
        <v>20</v>
      </c>
      <c r="E40" s="14">
        <f>Source_Totals!N40-Source_Totals!O40</f>
        <v>172.23845409407852</v>
      </c>
      <c r="F40" s="14">
        <f>Source_Totals!V40*(Source_Totals!H40+Source_Totals!I40)</f>
        <v>284.82260781495467</v>
      </c>
      <c r="G40" s="14">
        <f>E40+F40-Source_Totals!Q40</f>
        <v>1525.4398939611585</v>
      </c>
      <c r="H40" s="14">
        <f>Source_Totals!P40</f>
        <v>492.1879351888046</v>
      </c>
      <c r="I40" s="14">
        <f t="shared" si="0"/>
        <v>-1068.3788320521253</v>
      </c>
      <c r="J40" s="14">
        <f t="shared" si="1"/>
        <v>-35.126873279771416</v>
      </c>
      <c r="K40" s="14">
        <f t="shared" si="2"/>
        <v>-1033.2519587723539</v>
      </c>
      <c r="L40" s="14">
        <f t="shared" si="3"/>
        <v>1033.2519587723539</v>
      </c>
      <c r="M40" s="18">
        <f t="shared" si="4"/>
        <v>0</v>
      </c>
      <c r="N40" s="18">
        <f>Source_Totals!M40-Source_Totals!O40-L40</f>
        <v>0</v>
      </c>
    </row>
    <row r="41" spans="1:14" ht="30.75" customHeight="1">
      <c r="A41" s="5" t="str">
        <f>Source_Totals!A41</f>
        <v>a0.30_C_30kWh</v>
      </c>
      <c r="B41" s="9">
        <f>Source_Totals!B41</f>
        <v>0.3</v>
      </c>
      <c r="C41" s="5" t="str">
        <f>Source_Totals!C41</f>
        <v>C</v>
      </c>
      <c r="D41" s="5">
        <f>Source_Totals!D41</f>
        <v>30</v>
      </c>
      <c r="E41" s="15">
        <f>Source_Totals!N41-Source_Totals!O41</f>
        <v>181.77784463619673</v>
      </c>
      <c r="F41" s="15">
        <f>Source_Totals!V41*(Source_Totals!H41+Source_Totals!I41)</f>
        <v>316.62409766477225</v>
      </c>
      <c r="G41" s="15">
        <f>E41+F41-Source_Totals!Q41</f>
        <v>1586.4013306489655</v>
      </c>
      <c r="H41" s="15">
        <f>Source_Totals!P41</f>
        <v>517.37345121846374</v>
      </c>
      <c r="I41" s="15">
        <f t="shared" si="0"/>
        <v>-1087.9993883479965</v>
      </c>
      <c r="J41" s="15">
        <f t="shared" si="1"/>
        <v>-18.971508917494759</v>
      </c>
      <c r="K41" s="15">
        <f t="shared" si="2"/>
        <v>-1069.0278794305018</v>
      </c>
      <c r="L41" s="15">
        <f t="shared" si="3"/>
        <v>1069.0278794305018</v>
      </c>
      <c r="M41" s="19">
        <f t="shared" si="4"/>
        <v>0</v>
      </c>
      <c r="N41" s="19">
        <f>Source_Totals!M41-Source_Totals!O41-L41</f>
        <v>0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selection sqref="A1:J1"/>
    </sheetView>
  </sheetViews>
  <sheetFormatPr baseColWidth="10" defaultColWidth="8.83203125" defaultRowHeight="14"/>
  <cols>
    <col min="1" max="10" width="19" customWidth="1"/>
  </cols>
  <sheetData>
    <row r="1" spans="1:10" ht="42.75" customHeight="1">
      <c r="A1" s="28" t="s">
        <v>197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44" customHeight="1">
      <c r="A2" s="29" t="s">
        <v>198</v>
      </c>
      <c r="B2" s="29"/>
      <c r="C2" s="29"/>
      <c r="D2" s="29"/>
      <c r="E2" s="29"/>
      <c r="F2" s="29"/>
      <c r="G2" s="29"/>
      <c r="H2" s="29"/>
      <c r="I2" s="29"/>
      <c r="J2" s="29"/>
    </row>
    <row r="5" spans="1:10" ht="64" customHeight="1">
      <c r="A5" s="4" t="s">
        <v>33</v>
      </c>
      <c r="B5" s="4" t="s">
        <v>177</v>
      </c>
      <c r="C5" s="4" t="s">
        <v>179</v>
      </c>
      <c r="D5" s="4" t="s">
        <v>199</v>
      </c>
      <c r="E5" s="4" t="s">
        <v>200</v>
      </c>
      <c r="F5" s="4" t="s">
        <v>201</v>
      </c>
      <c r="G5" s="4" t="s">
        <v>202</v>
      </c>
      <c r="H5" s="4" t="s">
        <v>203</v>
      </c>
      <c r="I5" s="4" t="s">
        <v>183</v>
      </c>
      <c r="J5" s="4" t="s">
        <v>204</v>
      </c>
    </row>
    <row r="6" spans="1:10" ht="30.75" customHeight="1">
      <c r="A6" s="3" t="str">
        <f>Energy_36!C18</f>
        <v>A</v>
      </c>
      <c r="B6" s="3">
        <f>Energy_36!D18</f>
        <v>10</v>
      </c>
      <c r="C6" s="14">
        <f>Energy_36!H18</f>
        <v>1550.724932778242</v>
      </c>
      <c r="D6" s="14">
        <f>Energy_36!I18</f>
        <v>1550.724932778242</v>
      </c>
      <c r="E6" s="14">
        <f>Energy_36!K18</f>
        <v>12641.750389269095</v>
      </c>
      <c r="F6" s="14">
        <f>Cashflows_36!G18</f>
        <v>1050.2667460230475</v>
      </c>
      <c r="G6" s="14">
        <f>Cashflows_36!H18</f>
        <v>480.81206969060258</v>
      </c>
      <c r="H6" s="14">
        <f>Cashflows_36!K18</f>
        <v>-569.45467633244493</v>
      </c>
      <c r="I6" s="16">
        <f>Energy_36!P18</f>
        <v>0.12088689286606373</v>
      </c>
      <c r="J6" s="14">
        <f>Cashflows_36!J18</f>
        <v>-256.65325935985084</v>
      </c>
    </row>
    <row r="7" spans="1:10" ht="30.75" customHeight="1">
      <c r="A7" s="5" t="str">
        <f>Energy_36!C19</f>
        <v>A</v>
      </c>
      <c r="B7" s="5">
        <f>Energy_36!D19</f>
        <v>15</v>
      </c>
      <c r="C7" s="15">
        <f>Energy_36!H19</f>
        <v>1546.5913120603655</v>
      </c>
      <c r="D7" s="15">
        <f>Energy_36!I19</f>
        <v>1546.5913120603655</v>
      </c>
      <c r="E7" s="15">
        <f>Energy_36!K19</f>
        <v>12635.471980203298</v>
      </c>
      <c r="F7" s="15">
        <f>Cashflows_36!G19</f>
        <v>1049.6934525384797</v>
      </c>
      <c r="G7" s="15">
        <f>Cashflows_36!H19</f>
        <v>480.26964258110257</v>
      </c>
      <c r="H7" s="15">
        <f>Cashflows_36!K19</f>
        <v>-569.42380995737722</v>
      </c>
      <c r="I7" s="17">
        <f>Energy_36!P19</f>
        <v>0.12088689286606373</v>
      </c>
      <c r="J7" s="15">
        <f>Cashflows_36!J19</f>
        <v>-256.43135350824309</v>
      </c>
    </row>
    <row r="8" spans="1:10" ht="30.75" customHeight="1">
      <c r="A8" s="3" t="str">
        <f>Energy_36!C20</f>
        <v>A</v>
      </c>
      <c r="B8" s="3">
        <f>Energy_36!D20</f>
        <v>20</v>
      </c>
      <c r="C8" s="14">
        <f>Energy_36!H20</f>
        <v>1546.3494461792354</v>
      </c>
      <c r="D8" s="14">
        <f>Energy_36!I20</f>
        <v>1546.3494461792354</v>
      </c>
      <c r="E8" s="14">
        <f>Energy_36!K20</f>
        <v>12633.787287331197</v>
      </c>
      <c r="F8" s="14">
        <f>Cashflows_36!G20</f>
        <v>1049.5973046566701</v>
      </c>
      <c r="G8" s="14">
        <f>Cashflows_36!H20</f>
        <v>480.18560647547622</v>
      </c>
      <c r="H8" s="14">
        <f>Cashflows_36!K20</f>
        <v>-569.41169818119386</v>
      </c>
      <c r="I8" s="16">
        <f>Energy_36!P20</f>
        <v>0.12088689286606373</v>
      </c>
      <c r="J8" s="14">
        <f>Cashflows_36!J20</f>
        <v>-256.323715638294</v>
      </c>
    </row>
    <row r="9" spans="1:10" ht="30.75" customHeight="1">
      <c r="A9" s="5" t="str">
        <f>Energy_36!C21</f>
        <v>A</v>
      </c>
      <c r="B9" s="5">
        <f>Energy_36!D21</f>
        <v>30</v>
      </c>
      <c r="C9" s="15">
        <f>Energy_36!H21</f>
        <v>1546.3494461792354</v>
      </c>
      <c r="D9" s="15">
        <f>Energy_36!I21</f>
        <v>1546.3494461792354</v>
      </c>
      <c r="E9" s="15">
        <f>Energy_36!K21</f>
        <v>12630.988832622241</v>
      </c>
      <c r="F9" s="15">
        <f>Cashflows_36!G21</f>
        <v>1049.4549453776788</v>
      </c>
      <c r="G9" s="15">
        <f>Cashflows_36!H21</f>
        <v>480.08142385694816</v>
      </c>
      <c r="H9" s="15">
        <f>Cashflows_36!K21</f>
        <v>-569.37352152073061</v>
      </c>
      <c r="I9" s="17">
        <f>Energy_36!P21</f>
        <v>0.12088689286606373</v>
      </c>
      <c r="J9" s="15">
        <f>Cashflows_36!J21</f>
        <v>-256.13557937849725</v>
      </c>
    </row>
    <row r="10" spans="1:10" ht="30.75" customHeight="1">
      <c r="A10" s="3" t="str">
        <f>Energy_36!C22</f>
        <v>B</v>
      </c>
      <c r="B10" s="3">
        <f>Energy_36!D22</f>
        <v>10</v>
      </c>
      <c r="C10" s="14">
        <f>Energy_36!H22</f>
        <v>2002.7728517889173</v>
      </c>
      <c r="D10" s="14">
        <f>Energy_36!I22</f>
        <v>3229.4218291330253</v>
      </c>
      <c r="E10" s="14">
        <f>Energy_36!K22</f>
        <v>14031.311930043259</v>
      </c>
      <c r="F10" s="14">
        <f>Cashflows_36!G22</f>
        <v>1396.3449607304656</v>
      </c>
      <c r="G10" s="14">
        <f>Cashflows_36!H22</f>
        <v>762.17559384027129</v>
      </c>
      <c r="H10" s="14">
        <f>Cashflows_36!K22</f>
        <v>-634.16936689019428</v>
      </c>
      <c r="I10" s="16">
        <f>Energy_36!P22</f>
        <v>0.12088689286606373</v>
      </c>
      <c r="J10" s="14">
        <f>Cashflows_36!J22</f>
        <v>-273.65248174165288</v>
      </c>
    </row>
    <row r="11" spans="1:10" ht="30.75" customHeight="1">
      <c r="A11" s="5" t="str">
        <f>Energy_36!C23</f>
        <v>B</v>
      </c>
      <c r="B11" s="5">
        <f>Energy_36!D23</f>
        <v>15</v>
      </c>
      <c r="C11" s="15">
        <f>Energy_36!H23</f>
        <v>1928.9349535685039</v>
      </c>
      <c r="D11" s="15">
        <f>Energy_36!I23</f>
        <v>3358.6865373125192</v>
      </c>
      <c r="E11" s="15">
        <f>Energy_36!K23</f>
        <v>14027.464178576078</v>
      </c>
      <c r="F11" s="15">
        <f>Cashflows_36!G23</f>
        <v>1486.4026160524656</v>
      </c>
      <c r="G11" s="15">
        <f>Cashflows_36!H23</f>
        <v>767.46080106335842</v>
      </c>
      <c r="H11" s="15">
        <f>Cashflows_36!K23</f>
        <v>-718.94181498910723</v>
      </c>
      <c r="I11" s="17">
        <f>Energy_36!P23</f>
        <v>0.12088689286606373</v>
      </c>
      <c r="J11" s="15">
        <f>Cashflows_36!J23</f>
        <v>-223.98104091847279</v>
      </c>
    </row>
    <row r="12" spans="1:10" ht="30.75" customHeight="1">
      <c r="A12" s="3" t="str">
        <f>Energy_36!C24</f>
        <v>B</v>
      </c>
      <c r="B12" s="3">
        <f>Energy_36!D24</f>
        <v>20</v>
      </c>
      <c r="C12" s="14">
        <f>Energy_36!H24</f>
        <v>1852.1605627686702</v>
      </c>
      <c r="D12" s="14">
        <f>Energy_36!I24</f>
        <v>3411.0091898267788</v>
      </c>
      <c r="E12" s="14">
        <f>Energy_36!K24</f>
        <v>13989.166735916544</v>
      </c>
      <c r="F12" s="14">
        <f>Cashflows_36!G24</f>
        <v>1535.1353194313722</v>
      </c>
      <c r="G12" s="14">
        <f>Cashflows_36!H24</f>
        <v>786.85479258138116</v>
      </c>
      <c r="H12" s="14">
        <f>Cashflows_36!K24</f>
        <v>-748.28052684999102</v>
      </c>
      <c r="I12" s="16">
        <f>Energy_36!P24</f>
        <v>0.12088689286606373</v>
      </c>
      <c r="J12" s="14">
        <f>Cashflows_36!J24</f>
        <v>-207.58962598575147</v>
      </c>
    </row>
    <row r="13" spans="1:10" ht="30.75" customHeight="1">
      <c r="A13" s="5" t="str">
        <f>Energy_36!C25</f>
        <v>B</v>
      </c>
      <c r="B13" s="5">
        <f>Energy_36!D25</f>
        <v>30</v>
      </c>
      <c r="C13" s="15">
        <f>Energy_36!H25</f>
        <v>1815.8274665039621</v>
      </c>
      <c r="D13" s="15">
        <f>Energy_36!I25</f>
        <v>3510.5928884189598</v>
      </c>
      <c r="E13" s="15">
        <f>Energy_36!K25</f>
        <v>14005.914602054991</v>
      </c>
      <c r="F13" s="15">
        <f>Cashflows_36!G25</f>
        <v>1577.6785666816618</v>
      </c>
      <c r="G13" s="15">
        <f>Cashflows_36!H25</f>
        <v>805.2913891963301</v>
      </c>
      <c r="H13" s="15">
        <f>Cashflows_36!K25</f>
        <v>-772.38717748533168</v>
      </c>
      <c r="I13" s="17">
        <f>Energy_36!P25</f>
        <v>0.12088689286606373</v>
      </c>
      <c r="J13" s="15">
        <f>Cashflows_36!J25</f>
        <v>-185.15139760023749</v>
      </c>
    </row>
    <row r="14" spans="1:10" ht="30.75" customHeight="1">
      <c r="A14" s="3" t="str">
        <f>Energy_36!C26</f>
        <v>C</v>
      </c>
      <c r="B14" s="3">
        <f>Energy_36!D26</f>
        <v>10</v>
      </c>
      <c r="C14" s="14">
        <f>Energy_36!H26</f>
        <v>1401.7178868769868</v>
      </c>
      <c r="D14" s="14">
        <f>Energy_36!I26</f>
        <v>1722.3726279082252</v>
      </c>
      <c r="E14" s="14">
        <f>Energy_36!K26</f>
        <v>12475.726286176403</v>
      </c>
      <c r="F14" s="14">
        <f>Cashflows_36!G26</f>
        <v>1324.106906120131</v>
      </c>
      <c r="G14" s="14">
        <f>Cashflows_36!H26</f>
        <v>425.79744326922071</v>
      </c>
      <c r="H14" s="14">
        <f>Cashflows_36!K26</f>
        <v>-898.30946285091034</v>
      </c>
      <c r="I14" s="16">
        <f>Energy_36!P26</f>
        <v>0.14242622760177895</v>
      </c>
      <c r="J14" s="14">
        <f>Cashflows_36!J26</f>
        <v>-87.906046705840879</v>
      </c>
    </row>
    <row r="15" spans="1:10" ht="30.75" customHeight="1">
      <c r="A15" s="5" t="str">
        <f>Energy_36!C27</f>
        <v>C</v>
      </c>
      <c r="B15" s="5">
        <f>Energy_36!D27</f>
        <v>15</v>
      </c>
      <c r="C15" s="15">
        <f>Energy_36!H27</f>
        <v>1362.9558342292441</v>
      </c>
      <c r="D15" s="15">
        <f>Energy_36!I27</f>
        <v>1938.7559212547712</v>
      </c>
      <c r="E15" s="15">
        <f>Energy_36!K27</f>
        <v>12513.658203742114</v>
      </c>
      <c r="F15" s="15">
        <f>Cashflows_36!G27</f>
        <v>1441.8254116973319</v>
      </c>
      <c r="G15" s="15">
        <f>Cashflows_36!H27</f>
        <v>459.326113760711</v>
      </c>
      <c r="H15" s="15">
        <f>Cashflows_36!K27</f>
        <v>-982.49929793662091</v>
      </c>
      <c r="I15" s="17">
        <f>Energy_36!P27</f>
        <v>0.14242622760177895</v>
      </c>
      <c r="J15" s="15">
        <f>Cashflows_36!J27</f>
        <v>-55.82012226040365</v>
      </c>
    </row>
    <row r="16" spans="1:10" ht="30.75" customHeight="1">
      <c r="A16" s="3" t="str">
        <f>Energy_36!C28</f>
        <v>C</v>
      </c>
      <c r="B16" s="3">
        <f>Energy_36!D28</f>
        <v>20</v>
      </c>
      <c r="C16" s="14">
        <f>Energy_36!H28</f>
        <v>1347.5186174233659</v>
      </c>
      <c r="D16" s="14">
        <f>Energy_36!I28</f>
        <v>2328.4494440951785</v>
      </c>
      <c r="E16" s="14">
        <f>Energy_36!K28</f>
        <v>12778.659351101049</v>
      </c>
      <c r="F16" s="14">
        <f>Cashflows_36!G28</f>
        <v>1525.4398939611585</v>
      </c>
      <c r="G16" s="14">
        <f>Cashflows_36!H28</f>
        <v>492.1879351888046</v>
      </c>
      <c r="H16" s="14">
        <f>Cashflows_36!K28</f>
        <v>-1033.2519587723539</v>
      </c>
      <c r="I16" s="16">
        <f>Energy_36!P28</f>
        <v>0.14242622760177895</v>
      </c>
      <c r="J16" s="14">
        <f>Cashflows_36!J28</f>
        <v>-35.126873279771416</v>
      </c>
    </row>
    <row r="17" spans="1:10" ht="30.75" customHeight="1">
      <c r="A17" s="5" t="str">
        <f>Energy_36!C29</f>
        <v>C</v>
      </c>
      <c r="B17" s="5">
        <f>Energy_36!D29</f>
        <v>30</v>
      </c>
      <c r="C17" s="15">
        <f>Energy_36!H29</f>
        <v>1343.0333954526727</v>
      </c>
      <c r="D17" s="15">
        <f>Energy_36!I29</f>
        <v>2787.6931123656041</v>
      </c>
      <c r="E17" s="15">
        <f>Energy_36!K29</f>
        <v>13148.396737202271</v>
      </c>
      <c r="F17" s="15">
        <f>Cashflows_36!G29</f>
        <v>1586.4013306489653</v>
      </c>
      <c r="G17" s="15">
        <f>Cashflows_36!H29</f>
        <v>517.37345121846374</v>
      </c>
      <c r="H17" s="15">
        <f>Cashflows_36!K29</f>
        <v>-1069.0278794305016</v>
      </c>
      <c r="I17" s="17">
        <f>Energy_36!P29</f>
        <v>0.14242622760177895</v>
      </c>
      <c r="J17" s="15">
        <f>Cashflows_36!J29</f>
        <v>-18.971508917494873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workbookViewId="0">
      <selection sqref="A1:M1"/>
    </sheetView>
  </sheetViews>
  <sheetFormatPr baseColWidth="10" defaultColWidth="8.83203125" defaultRowHeight="14"/>
  <cols>
    <col min="1" max="13" width="18" customWidth="1"/>
  </cols>
  <sheetData>
    <row r="1" spans="1:13" ht="42.75" customHeight="1">
      <c r="A1" s="28" t="s">
        <v>205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44" customHeight="1">
      <c r="A2" s="29" t="s">
        <v>206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5" spans="1:13" ht="64" customHeight="1">
      <c r="A5" s="4" t="s">
        <v>33</v>
      </c>
      <c r="B5" s="4" t="s">
        <v>177</v>
      </c>
      <c r="C5" s="4" t="s">
        <v>207</v>
      </c>
      <c r="D5" s="4" t="s">
        <v>208</v>
      </c>
      <c r="E5" s="4" t="s">
        <v>209</v>
      </c>
      <c r="F5" s="4" t="s">
        <v>210</v>
      </c>
      <c r="G5" s="4" t="s">
        <v>211</v>
      </c>
      <c r="H5" s="4" t="s">
        <v>212</v>
      </c>
      <c r="I5" s="4" t="s">
        <v>213</v>
      </c>
      <c r="J5" s="4" t="s">
        <v>214</v>
      </c>
      <c r="K5" s="4" t="s">
        <v>215</v>
      </c>
      <c r="L5" s="4" t="s">
        <v>216</v>
      </c>
      <c r="M5" s="4" t="s">
        <v>217</v>
      </c>
    </row>
    <row r="6" spans="1:13" ht="30.75" customHeight="1">
      <c r="A6" s="3" t="str">
        <f>Energy_36!C18</f>
        <v>A</v>
      </c>
      <c r="B6" s="3">
        <f>Energy_36!D18</f>
        <v>10</v>
      </c>
      <c r="C6" s="14">
        <f>Energy_36!K6</f>
        <v>12644.420422365703</v>
      </c>
      <c r="D6" s="14">
        <f>Energy_36!K18</f>
        <v>12641.750389269095</v>
      </c>
      <c r="E6" s="14">
        <f>Energy_36!K30</f>
        <v>12640.484225644086</v>
      </c>
      <c r="F6" s="20">
        <f t="shared" ref="F6:F17" si="0">E6/C6-1</f>
        <v>-3.1129910190708099E-4</v>
      </c>
      <c r="G6" s="14">
        <f>Cashflows_36!H6</f>
        <v>478.32014795099923</v>
      </c>
      <c r="H6" s="14">
        <f>Cashflows_36!H18</f>
        <v>480.81206969060258</v>
      </c>
      <c r="I6" s="14">
        <f>Cashflows_36!H30</f>
        <v>483.05529065054407</v>
      </c>
      <c r="J6" s="14">
        <f>MIN(Cashflows_36!K6,Cashflows_36!K18,Cashflows_36!K30)</f>
        <v>-581.93765027979157</v>
      </c>
      <c r="K6" s="14">
        <f>MAX(Cashflows_36!K6,Cashflows_36!K18,Cashflows_36!K30)</f>
        <v>-559.82452085721047</v>
      </c>
      <c r="L6" s="16">
        <f>MIN(Energy_36!P6,Energy_36!P18,Energy_36!P30)</f>
        <v>0.11615272505246005</v>
      </c>
      <c r="M6" s="16">
        <f>MAX(Energy_36!P6,Energy_36!P18,Energy_36!P30)</f>
        <v>0.12423391244329621</v>
      </c>
    </row>
    <row r="7" spans="1:13" ht="30.75" customHeight="1">
      <c r="A7" s="5" t="str">
        <f>Energy_36!C19</f>
        <v>A</v>
      </c>
      <c r="B7" s="5">
        <f>Energy_36!D19</f>
        <v>15</v>
      </c>
      <c r="C7" s="15">
        <f>Energy_36!K7</f>
        <v>12638.142070186845</v>
      </c>
      <c r="D7" s="15">
        <f>Energy_36!K19</f>
        <v>12635.471980203298</v>
      </c>
      <c r="E7" s="15">
        <f>Energy_36!K31</f>
        <v>12634.288697843545</v>
      </c>
      <c r="F7" s="21">
        <f t="shared" si="0"/>
        <v>-3.0490022361662206E-4</v>
      </c>
      <c r="G7" s="15">
        <f>Cashflows_36!H7</f>
        <v>477.77842763537819</v>
      </c>
      <c r="H7" s="15">
        <f>Cashflows_36!H19</f>
        <v>480.26964258110257</v>
      </c>
      <c r="I7" s="15">
        <f>Cashflows_36!H31</f>
        <v>482.52272905425889</v>
      </c>
      <c r="J7" s="15">
        <f>MIN(Cashflows_36!K7,Cashflows_36!K19,Cashflows_36!K31)</f>
        <v>-581.90700408193038</v>
      </c>
      <c r="K7" s="15">
        <f>MAX(Cashflows_36!K7,Cashflows_36!K19,Cashflows_36!K31)</f>
        <v>-559.79136348178304</v>
      </c>
      <c r="L7" s="17">
        <f>MIN(Energy_36!P7,Energy_36!P19,Energy_36!P31)</f>
        <v>0.11615272505246005</v>
      </c>
      <c r="M7" s="17">
        <f>MAX(Energy_36!P7,Energy_36!P19,Energy_36!P31)</f>
        <v>0.12423391244329621</v>
      </c>
    </row>
    <row r="8" spans="1:13" ht="30.75" customHeight="1">
      <c r="A8" s="3" t="str">
        <f>Energy_36!C20</f>
        <v>A</v>
      </c>
      <c r="B8" s="3">
        <f>Energy_36!D20</f>
        <v>20</v>
      </c>
      <c r="C8" s="14">
        <f>Energy_36!K8</f>
        <v>12635.90481348639</v>
      </c>
      <c r="D8" s="14">
        <f>Energy_36!K20</f>
        <v>12633.787287331197</v>
      </c>
      <c r="E8" s="14">
        <f>Energy_36!K32</f>
        <v>12632.889465394732</v>
      </c>
      <c r="F8" s="20">
        <f t="shared" si="0"/>
        <v>-2.386333338345592E-4</v>
      </c>
      <c r="G8" s="14">
        <f>Cashflows_36!H8</f>
        <v>477.63895941483702</v>
      </c>
      <c r="H8" s="14">
        <f>Cashflows_36!H20</f>
        <v>480.18560647547622</v>
      </c>
      <c r="I8" s="14">
        <f>Cashflows_36!H32</f>
        <v>482.46808295238748</v>
      </c>
      <c r="J8" s="14">
        <f>MIN(Cashflows_36!K8,Cashflows_36!K20,Cashflows_36!K32)</f>
        <v>-581.89534253918373</v>
      </c>
      <c r="K8" s="14">
        <f>MAX(Cashflows_36!K8,Cashflows_36!K20,Cashflows_36!K32)</f>
        <v>-559.77823265272627</v>
      </c>
      <c r="L8" s="16">
        <f>MIN(Energy_36!P8,Energy_36!P20,Energy_36!P32)</f>
        <v>0.11615272505246005</v>
      </c>
      <c r="M8" s="16">
        <f>MAX(Energy_36!P8,Energy_36!P20,Energy_36!P32)</f>
        <v>0.12423391244329621</v>
      </c>
    </row>
    <row r="9" spans="1:13" ht="30.75" customHeight="1">
      <c r="A9" s="5" t="str">
        <f>Energy_36!C21</f>
        <v>A</v>
      </c>
      <c r="B9" s="5">
        <f>Energy_36!D21</f>
        <v>30</v>
      </c>
      <c r="C9" s="15">
        <f>Energy_36!K9</f>
        <v>12633.106367605169</v>
      </c>
      <c r="D9" s="15">
        <f>Energy_36!K21</f>
        <v>12630.988832622241</v>
      </c>
      <c r="E9" s="15">
        <f>Energy_36!K33</f>
        <v>12630.091008880949</v>
      </c>
      <c r="F9" s="21">
        <f t="shared" si="0"/>
        <v>-2.3868703678076031E-4</v>
      </c>
      <c r="G9" s="15">
        <f>Cashflows_36!H9</f>
        <v>477.54409740648953</v>
      </c>
      <c r="H9" s="15">
        <f>Cashflows_36!H21</f>
        <v>480.08142385694816</v>
      </c>
      <c r="I9" s="15">
        <f>Cashflows_36!H33</f>
        <v>482.35711329107107</v>
      </c>
      <c r="J9" s="15">
        <f>MIN(Cashflows_36!K9,Cashflows_36!K21,Cashflows_36!K33)</f>
        <v>-581.84796415364781</v>
      </c>
      <c r="K9" s="15">
        <f>MAX(Cashflows_36!K9,Cashflows_36!K21,Cashflows_36!K33)</f>
        <v>-559.74669190051054</v>
      </c>
      <c r="L9" s="17">
        <f>MIN(Energy_36!P9,Energy_36!P21,Energy_36!P33)</f>
        <v>0.11615272505246005</v>
      </c>
      <c r="M9" s="17">
        <f>MAX(Energy_36!P9,Energy_36!P21,Energy_36!P33)</f>
        <v>0.12423391244329621</v>
      </c>
    </row>
    <row r="10" spans="1:13" ht="30.75" customHeight="1">
      <c r="A10" s="3" t="str">
        <f>Energy_36!C22</f>
        <v>B</v>
      </c>
      <c r="B10" s="3">
        <f>Energy_36!D22</f>
        <v>10</v>
      </c>
      <c r="C10" s="14">
        <f>Energy_36!K10</f>
        <v>14058.374110968422</v>
      </c>
      <c r="D10" s="14">
        <f>Energy_36!K22</f>
        <v>14031.311930043259</v>
      </c>
      <c r="E10" s="14">
        <f>Energy_36!K34</f>
        <v>14014.408420751439</v>
      </c>
      <c r="F10" s="20">
        <f t="shared" si="0"/>
        <v>-3.1273666406900213E-3</v>
      </c>
      <c r="G10" s="14">
        <f>Cashflows_36!H10</f>
        <v>765.97811555651947</v>
      </c>
      <c r="H10" s="14">
        <f>Cashflows_36!H22</f>
        <v>762.17559384027129</v>
      </c>
      <c r="I10" s="14">
        <f>Cashflows_36!H34</f>
        <v>759.72618343882255</v>
      </c>
      <c r="J10" s="14">
        <f>MIN(Cashflows_36!K10,Cashflows_36!K22,Cashflows_36!K34)</f>
        <v>-634.50198233959054</v>
      </c>
      <c r="K10" s="14">
        <f>MAX(Cashflows_36!K10,Cashflows_36!K22,Cashflows_36!K34)</f>
        <v>-634.08119404892204</v>
      </c>
      <c r="L10" s="16">
        <f>MIN(Energy_36!P10,Energy_36!P22,Energy_36!P34)</f>
        <v>0.11615272505246005</v>
      </c>
      <c r="M10" s="16">
        <f>MAX(Energy_36!P10,Energy_36!P22,Energy_36!P34)</f>
        <v>0.12423391244329621</v>
      </c>
    </row>
    <row r="11" spans="1:13" ht="30.75" customHeight="1">
      <c r="A11" s="5" t="str">
        <f>Energy_36!C23</f>
        <v>B</v>
      </c>
      <c r="B11" s="5">
        <f>Energy_36!D23</f>
        <v>15</v>
      </c>
      <c r="C11" s="15">
        <f>Energy_36!K11</f>
        <v>14048.562332294008</v>
      </c>
      <c r="D11" s="15">
        <f>Energy_36!K23</f>
        <v>14027.464178576078</v>
      </c>
      <c r="E11" s="15">
        <f>Energy_36!K35</f>
        <v>14013.549994661666</v>
      </c>
      <c r="F11" s="21">
        <f t="shared" si="0"/>
        <v>-2.4922363444875861E-3</v>
      </c>
      <c r="G11" s="15">
        <f>Cashflows_36!H11</f>
        <v>770.63407101333337</v>
      </c>
      <c r="H11" s="15">
        <f>Cashflows_36!H23</f>
        <v>767.46080106335842</v>
      </c>
      <c r="I11" s="15">
        <f>Cashflows_36!H35</f>
        <v>765.37278835570044</v>
      </c>
      <c r="J11" s="15">
        <f>MIN(Cashflows_36!K11,Cashflows_36!K23,Cashflows_36!K35)</f>
        <v>-719.04096770499734</v>
      </c>
      <c r="K11" s="15">
        <f>MAX(Cashflows_36!K11,Cashflows_36!K23,Cashflows_36!K35)</f>
        <v>-718.79196810363169</v>
      </c>
      <c r="L11" s="17">
        <f>MIN(Energy_36!P11,Energy_36!P23,Energy_36!P35)</f>
        <v>0.11615272505246005</v>
      </c>
      <c r="M11" s="17">
        <f>MAX(Energy_36!P11,Energy_36!P23,Energy_36!P35)</f>
        <v>0.12423391244329621</v>
      </c>
    </row>
    <row r="12" spans="1:13" ht="30.75" customHeight="1">
      <c r="A12" s="3" t="str">
        <f>Energy_36!C24</f>
        <v>B</v>
      </c>
      <c r="B12" s="3">
        <f>Energy_36!D24</f>
        <v>20</v>
      </c>
      <c r="C12" s="14">
        <f>Energy_36!K12</f>
        <v>14009.280142704403</v>
      </c>
      <c r="D12" s="14">
        <f>Energy_36!K24</f>
        <v>13989.166735916544</v>
      </c>
      <c r="E12" s="14">
        <f>Energy_36!K36</f>
        <v>13975.883083768873</v>
      </c>
      <c r="F12" s="20">
        <f t="shared" si="0"/>
        <v>-2.3839239843399529E-3</v>
      </c>
      <c r="G12" s="14">
        <f>Cashflows_36!H12</f>
        <v>789.88403875529298</v>
      </c>
      <c r="H12" s="14">
        <f>Cashflows_36!H24</f>
        <v>786.85479258138116</v>
      </c>
      <c r="I12" s="14">
        <f>Cashflows_36!H36</f>
        <v>784.86006173967553</v>
      </c>
      <c r="J12" s="14">
        <f>MIN(Cashflows_36!K12,Cashflows_36!K24,Cashflows_36!K36)</f>
        <v>-748.38473322486584</v>
      </c>
      <c r="K12" s="14">
        <f>MAX(Cashflows_36!K12,Cashflows_36!K24,Cashflows_36!K36)</f>
        <v>-748.11300826863067</v>
      </c>
      <c r="L12" s="16">
        <f>MIN(Energy_36!P12,Energy_36!P24,Energy_36!P36)</f>
        <v>0.11615272505246005</v>
      </c>
      <c r="M12" s="16">
        <f>MAX(Energy_36!P12,Energy_36!P24,Energy_36!P36)</f>
        <v>0.12423391244329621</v>
      </c>
    </row>
    <row r="13" spans="1:13" ht="30.75" customHeight="1">
      <c r="A13" s="5" t="str">
        <f>Energy_36!C25</f>
        <v>B</v>
      </c>
      <c r="B13" s="5">
        <f>Energy_36!D25</f>
        <v>30</v>
      </c>
      <c r="C13" s="15">
        <f>Energy_36!K13</f>
        <v>14026.100616260548</v>
      </c>
      <c r="D13" s="15">
        <f>Energy_36!K25</f>
        <v>14005.914602054991</v>
      </c>
      <c r="E13" s="15">
        <f>Energy_36!K37</f>
        <v>13992.568576878908</v>
      </c>
      <c r="F13" s="21">
        <f t="shared" si="0"/>
        <v>-2.3906886382067949E-3</v>
      </c>
      <c r="G13" s="15">
        <f>Cashflows_36!H13</f>
        <v>808.26956103755128</v>
      </c>
      <c r="H13" s="15">
        <f>Cashflows_36!H25</f>
        <v>805.2913891963301</v>
      </c>
      <c r="I13" s="15">
        <f>Cashflows_36!H37</f>
        <v>803.3338662608985</v>
      </c>
      <c r="J13" s="15">
        <f>MIN(Cashflows_36!K13,Cashflows_36!K25,Cashflows_36!K37)</f>
        <v>-772.45121873857124</v>
      </c>
      <c r="K13" s="15">
        <f>MAX(Cashflows_36!K13,Cashflows_36!K25,Cashflows_36!K37)</f>
        <v>-772.26639985163797</v>
      </c>
      <c r="L13" s="17">
        <f>MIN(Energy_36!P13,Energy_36!P25,Energy_36!P37)</f>
        <v>0.11615272505246005</v>
      </c>
      <c r="M13" s="17">
        <f>MAX(Energy_36!P13,Energy_36!P25,Energy_36!P37)</f>
        <v>0.12423391244329621</v>
      </c>
    </row>
    <row r="14" spans="1:13" ht="30.75" customHeight="1">
      <c r="A14" s="3" t="str">
        <f>Energy_36!C26</f>
        <v>C</v>
      </c>
      <c r="B14" s="3">
        <f>Energy_36!D26</f>
        <v>10</v>
      </c>
      <c r="C14" s="14">
        <f>Energy_36!K14</f>
        <v>12475.726286176403</v>
      </c>
      <c r="D14" s="14">
        <f>Energy_36!K26</f>
        <v>12475.726286176403</v>
      </c>
      <c r="E14" s="14">
        <f>Energy_36!K38</f>
        <v>12475.726286176403</v>
      </c>
      <c r="F14" s="20">
        <f t="shared" si="0"/>
        <v>0</v>
      </c>
      <c r="G14" s="14">
        <f>Cashflows_36!H14</f>
        <v>425.79744326922071</v>
      </c>
      <c r="H14" s="14">
        <f>Cashflows_36!H26</f>
        <v>425.79744326922071</v>
      </c>
      <c r="I14" s="14">
        <f>Cashflows_36!H38</f>
        <v>425.79744326922071</v>
      </c>
      <c r="J14" s="14">
        <f>MIN(Cashflows_36!K14,Cashflows_36!K26,Cashflows_36!K38)</f>
        <v>-898.30946285091056</v>
      </c>
      <c r="K14" s="14">
        <f>MAX(Cashflows_36!K14,Cashflows_36!K26,Cashflows_36!K38)</f>
        <v>-898.30946285091034</v>
      </c>
      <c r="L14" s="16">
        <f>MIN(Energy_36!P14,Energy_36!P26,Energy_36!P38)</f>
        <v>0.14242622760177895</v>
      </c>
      <c r="M14" s="16">
        <f>MAX(Energy_36!P14,Energy_36!P26,Energy_36!P38)</f>
        <v>0.14242622760177895</v>
      </c>
    </row>
    <row r="15" spans="1:13" ht="30.75" customHeight="1">
      <c r="A15" s="5" t="str">
        <f>Energy_36!C27</f>
        <v>C</v>
      </c>
      <c r="B15" s="5">
        <f>Energy_36!D27</f>
        <v>15</v>
      </c>
      <c r="C15" s="15">
        <f>Energy_36!K15</f>
        <v>12513.658203742114</v>
      </c>
      <c r="D15" s="15">
        <f>Energy_36!K27</f>
        <v>12513.658203742114</v>
      </c>
      <c r="E15" s="15">
        <f>Energy_36!K39</f>
        <v>12513.658203742114</v>
      </c>
      <c r="F15" s="21">
        <f t="shared" si="0"/>
        <v>0</v>
      </c>
      <c r="G15" s="15">
        <f>Cashflows_36!H15</f>
        <v>459.326113760711</v>
      </c>
      <c r="H15" s="15">
        <f>Cashflows_36!H27</f>
        <v>459.326113760711</v>
      </c>
      <c r="I15" s="15">
        <f>Cashflows_36!H39</f>
        <v>459.326113760711</v>
      </c>
      <c r="J15" s="15">
        <f>MIN(Cashflows_36!K15,Cashflows_36!K27,Cashflows_36!K39)</f>
        <v>-982.49929793662113</v>
      </c>
      <c r="K15" s="15">
        <f>MAX(Cashflows_36!K15,Cashflows_36!K27,Cashflows_36!K39)</f>
        <v>-982.49929793662091</v>
      </c>
      <c r="L15" s="17">
        <f>MIN(Energy_36!P15,Energy_36!P27,Energy_36!P39)</f>
        <v>0.14242622760177895</v>
      </c>
      <c r="M15" s="17">
        <f>MAX(Energy_36!P15,Energy_36!P27,Energy_36!P39)</f>
        <v>0.14242622760177895</v>
      </c>
    </row>
    <row r="16" spans="1:13" ht="30.75" customHeight="1">
      <c r="A16" s="3" t="str">
        <f>Energy_36!C28</f>
        <v>C</v>
      </c>
      <c r="B16" s="3">
        <f>Energy_36!D28</f>
        <v>20</v>
      </c>
      <c r="C16" s="14">
        <f>Energy_36!K16</f>
        <v>12778.659351101049</v>
      </c>
      <c r="D16" s="14">
        <f>Energy_36!K28</f>
        <v>12778.659351101049</v>
      </c>
      <c r="E16" s="14">
        <f>Energy_36!K40</f>
        <v>12778.659351101049</v>
      </c>
      <c r="F16" s="20">
        <f t="shared" si="0"/>
        <v>0</v>
      </c>
      <c r="G16" s="14">
        <f>Cashflows_36!H16</f>
        <v>492.1879351888046</v>
      </c>
      <c r="H16" s="14">
        <f>Cashflows_36!H28</f>
        <v>492.1879351888046</v>
      </c>
      <c r="I16" s="14">
        <f>Cashflows_36!H40</f>
        <v>492.1879351888046</v>
      </c>
      <c r="J16" s="14">
        <f>MIN(Cashflows_36!K16,Cashflows_36!K28,Cashflows_36!K40)</f>
        <v>-1033.2519587723539</v>
      </c>
      <c r="K16" s="14">
        <f>MAX(Cashflows_36!K16,Cashflows_36!K28,Cashflows_36!K40)</f>
        <v>-1033.2519587723539</v>
      </c>
      <c r="L16" s="16">
        <f>MIN(Energy_36!P16,Energy_36!P28,Energy_36!P40)</f>
        <v>0.14242622760177895</v>
      </c>
      <c r="M16" s="16">
        <f>MAX(Energy_36!P16,Energy_36!P28,Energy_36!P40)</f>
        <v>0.14242622760177895</v>
      </c>
    </row>
    <row r="17" spans="1:13" ht="30.75" customHeight="1">
      <c r="A17" s="5" t="str">
        <f>Energy_36!C29</f>
        <v>C</v>
      </c>
      <c r="B17" s="5">
        <f>Energy_36!D29</f>
        <v>30</v>
      </c>
      <c r="C17" s="15">
        <f>Energy_36!K17</f>
        <v>13148.396737202271</v>
      </c>
      <c r="D17" s="15">
        <f>Energy_36!K29</f>
        <v>13148.396737202271</v>
      </c>
      <c r="E17" s="15">
        <f>Energy_36!K41</f>
        <v>13148.396737202271</v>
      </c>
      <c r="F17" s="21">
        <f t="shared" si="0"/>
        <v>0</v>
      </c>
      <c r="G17" s="15">
        <f>Cashflows_36!H17</f>
        <v>517.37345121846374</v>
      </c>
      <c r="H17" s="15">
        <f>Cashflows_36!H29</f>
        <v>517.37345121846374</v>
      </c>
      <c r="I17" s="15">
        <f>Cashflows_36!H41</f>
        <v>517.37345121846374</v>
      </c>
      <c r="J17" s="15">
        <f>MIN(Cashflows_36!K17,Cashflows_36!K29,Cashflows_36!K41)</f>
        <v>-1069.0278794305018</v>
      </c>
      <c r="K17" s="15">
        <f>MAX(Cashflows_36!K17,Cashflows_36!K29,Cashflows_36!K41)</f>
        <v>-1069.0278794305016</v>
      </c>
      <c r="L17" s="17">
        <f>MIN(Energy_36!P17,Energy_36!P29,Energy_36!P41)</f>
        <v>0.14242622760177895</v>
      </c>
      <c r="M17" s="17">
        <f>MAX(Energy_36!P17,Energy_36!P29,Energy_36!P41)</f>
        <v>0.14242622760177895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tabSelected="1" workbookViewId="0">
      <selection sqref="A1:K1"/>
    </sheetView>
  </sheetViews>
  <sheetFormatPr baseColWidth="10" defaultColWidth="8.83203125" defaultRowHeight="14"/>
  <cols>
    <col min="1" max="11" width="17" customWidth="1"/>
  </cols>
  <sheetData>
    <row r="1" spans="1:11" ht="42.75" customHeight="1">
      <c r="A1" s="28" t="s">
        <v>218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44" customHeight="1">
      <c r="A2" s="29" t="s">
        <v>219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5" spans="1:11" ht="64" customHeight="1">
      <c r="A5" s="4" t="s">
        <v>33</v>
      </c>
      <c r="B5" s="4" t="s">
        <v>176</v>
      </c>
      <c r="C5" s="4" t="s">
        <v>220</v>
      </c>
      <c r="D5" s="4" t="s">
        <v>221</v>
      </c>
      <c r="E5" s="4" t="s">
        <v>222</v>
      </c>
      <c r="F5" s="4" t="s">
        <v>223</v>
      </c>
      <c r="G5" s="4" t="s">
        <v>224</v>
      </c>
      <c r="H5" s="4" t="s">
        <v>225</v>
      </c>
      <c r="I5" s="4" t="s">
        <v>226</v>
      </c>
      <c r="J5" s="4" t="s">
        <v>227</v>
      </c>
      <c r="K5" s="4" t="s">
        <v>228</v>
      </c>
    </row>
    <row r="6" spans="1:11" ht="30.75" customHeight="1">
      <c r="A6" s="3" t="str">
        <f>Energy_36!C6</f>
        <v>A</v>
      </c>
      <c r="B6" s="8">
        <f>Energy_36!B6</f>
        <v>0.2</v>
      </c>
      <c r="C6" s="14">
        <f>Energy_36!K6</f>
        <v>12644.420422365703</v>
      </c>
      <c r="D6" s="14">
        <f>Energy_36!K9</f>
        <v>12633.106367605169</v>
      </c>
      <c r="E6" s="14">
        <f t="shared" ref="E6:E14" si="0">D6-C6</f>
        <v>-11.314054760534418</v>
      </c>
      <c r="F6" s="20">
        <f t="shared" ref="F6:F14" si="1">D6/C6-1</f>
        <v>-8.9478634706907645E-4</v>
      </c>
      <c r="G6" s="14">
        <f>Energy_36!H6</f>
        <v>1564.1112454141669</v>
      </c>
      <c r="H6" s="14">
        <f>Energy_36!H9</f>
        <v>1559.267272270504</v>
      </c>
      <c r="I6" s="14">
        <f>Energy_36!I6</f>
        <v>1564.1112454141669</v>
      </c>
      <c r="J6" s="14">
        <f>Energy_36!I9</f>
        <v>1559.267272270504</v>
      </c>
      <c r="K6" s="14">
        <f t="shared" ref="K6:K14" si="2">J6-I6</f>
        <v>-4.843973143662879</v>
      </c>
    </row>
    <row r="7" spans="1:11" ht="30.75" customHeight="1">
      <c r="A7" s="5" t="str">
        <f>Energy_36!C10</f>
        <v>B</v>
      </c>
      <c r="B7" s="9">
        <f>Energy_36!B10</f>
        <v>0.2</v>
      </c>
      <c r="C7" s="15">
        <f>Energy_36!K10</f>
        <v>14058.374110968422</v>
      </c>
      <c r="D7" s="15">
        <f>Energy_36!K13</f>
        <v>14026.100616260548</v>
      </c>
      <c r="E7" s="15">
        <f t="shared" si="0"/>
        <v>-32.273494707873397</v>
      </c>
      <c r="F7" s="21">
        <f t="shared" si="1"/>
        <v>-2.2956776120144351E-3</v>
      </c>
      <c r="G7" s="15">
        <f>Energy_36!H10</f>
        <v>2032.1834582721797</v>
      </c>
      <c r="H7" s="15">
        <f>Energy_36!H13</f>
        <v>1838.4999023236246</v>
      </c>
      <c r="I7" s="15">
        <f>Energy_36!I10</f>
        <v>3256.4872284048824</v>
      </c>
      <c r="J7" s="15">
        <f>Energy_36!I13</f>
        <v>3530.7851574562765</v>
      </c>
      <c r="K7" s="15">
        <f t="shared" si="2"/>
        <v>274.29792905139402</v>
      </c>
    </row>
    <row r="8" spans="1:11" ht="30.75" customHeight="1">
      <c r="A8" s="3" t="str">
        <f>Energy_36!C14</f>
        <v>C</v>
      </c>
      <c r="B8" s="8">
        <f>Energy_36!B14</f>
        <v>0.2</v>
      </c>
      <c r="C8" s="14">
        <f>Energy_36!K14</f>
        <v>12475.726286176403</v>
      </c>
      <c r="D8" s="14">
        <f>Energy_36!K17</f>
        <v>13148.396737202271</v>
      </c>
      <c r="E8" s="14">
        <f t="shared" si="0"/>
        <v>672.67045102586781</v>
      </c>
      <c r="F8" s="20">
        <f t="shared" si="1"/>
        <v>5.3918339950373317E-2</v>
      </c>
      <c r="G8" s="14">
        <f>Energy_36!H14</f>
        <v>1401.7178868769868</v>
      </c>
      <c r="H8" s="14">
        <f>Energy_36!H17</f>
        <v>1343.0333954526727</v>
      </c>
      <c r="I8" s="14">
        <f>Energy_36!I14</f>
        <v>1722.3726279082252</v>
      </c>
      <c r="J8" s="14">
        <f>Energy_36!I17</f>
        <v>2787.6931123656041</v>
      </c>
      <c r="K8" s="14">
        <f t="shared" si="2"/>
        <v>1065.3204844573788</v>
      </c>
    </row>
    <row r="9" spans="1:11" ht="30.75" customHeight="1">
      <c r="A9" s="5" t="str">
        <f>Energy_36!C18</f>
        <v>A</v>
      </c>
      <c r="B9" s="9">
        <f>Energy_36!B18</f>
        <v>0.25</v>
      </c>
      <c r="C9" s="15">
        <f>Energy_36!K18</f>
        <v>12641.750389269095</v>
      </c>
      <c r="D9" s="15">
        <f>Energy_36!K21</f>
        <v>12630.988832622241</v>
      </c>
      <c r="E9" s="15">
        <f t="shared" si="0"/>
        <v>-10.761556646853933</v>
      </c>
      <c r="F9" s="21">
        <f t="shared" si="1"/>
        <v>-8.5127109106575283E-4</v>
      </c>
      <c r="G9" s="15">
        <f>Energy_36!H18</f>
        <v>1550.724932778242</v>
      </c>
      <c r="H9" s="15">
        <f>Energy_36!H21</f>
        <v>1546.3494461792354</v>
      </c>
      <c r="I9" s="15">
        <f>Energy_36!I18</f>
        <v>1550.724932778242</v>
      </c>
      <c r="J9" s="15">
        <f>Energy_36!I21</f>
        <v>1546.3494461792354</v>
      </c>
      <c r="K9" s="15">
        <f t="shared" si="2"/>
        <v>-4.3754865990065355</v>
      </c>
    </row>
    <row r="10" spans="1:11" ht="30.75" customHeight="1">
      <c r="A10" s="3" t="str">
        <f>Energy_36!C22</f>
        <v>B</v>
      </c>
      <c r="B10" s="8">
        <f>Energy_36!B22</f>
        <v>0.25</v>
      </c>
      <c r="C10" s="14">
        <f>Energy_36!K22</f>
        <v>14031.311930043259</v>
      </c>
      <c r="D10" s="14">
        <f>Energy_36!K25</f>
        <v>14005.914602054991</v>
      </c>
      <c r="E10" s="14">
        <f t="shared" si="0"/>
        <v>-25.397327988268444</v>
      </c>
      <c r="F10" s="20">
        <f t="shared" si="1"/>
        <v>-1.8100465669136367E-3</v>
      </c>
      <c r="G10" s="14">
        <f>Energy_36!H22</f>
        <v>2002.7728517889173</v>
      </c>
      <c r="H10" s="14">
        <f>Energy_36!H25</f>
        <v>1815.8274665039621</v>
      </c>
      <c r="I10" s="14">
        <f>Energy_36!I22</f>
        <v>3229.4218291330253</v>
      </c>
      <c r="J10" s="14">
        <f>Energy_36!I25</f>
        <v>3510.5928884189598</v>
      </c>
      <c r="K10" s="14">
        <f t="shared" si="2"/>
        <v>281.17105928593446</v>
      </c>
    </row>
    <row r="11" spans="1:11" ht="30.75" customHeight="1">
      <c r="A11" s="5" t="str">
        <f>Energy_36!C26</f>
        <v>C</v>
      </c>
      <c r="B11" s="9">
        <f>Energy_36!B26</f>
        <v>0.25</v>
      </c>
      <c r="C11" s="15">
        <f>Energy_36!K26</f>
        <v>12475.726286176403</v>
      </c>
      <c r="D11" s="15">
        <f>Energy_36!K29</f>
        <v>13148.396737202271</v>
      </c>
      <c r="E11" s="15">
        <f t="shared" si="0"/>
        <v>672.67045102586781</v>
      </c>
      <c r="F11" s="21">
        <f t="shared" si="1"/>
        <v>5.3918339950373317E-2</v>
      </c>
      <c r="G11" s="15">
        <f>Energy_36!H26</f>
        <v>1401.7178868769868</v>
      </c>
      <c r="H11" s="15">
        <f>Energy_36!H29</f>
        <v>1343.0333954526727</v>
      </c>
      <c r="I11" s="15">
        <f>Energy_36!I26</f>
        <v>1722.3726279082252</v>
      </c>
      <c r="J11" s="15">
        <f>Energy_36!I29</f>
        <v>2787.6931123656041</v>
      </c>
      <c r="K11" s="15">
        <f t="shared" si="2"/>
        <v>1065.3204844573788</v>
      </c>
    </row>
    <row r="12" spans="1:11" ht="30.75" customHeight="1">
      <c r="A12" s="3" t="str">
        <f>Energy_36!C30</f>
        <v>A</v>
      </c>
      <c r="B12" s="8">
        <f>Energy_36!B30</f>
        <v>0.3</v>
      </c>
      <c r="C12" s="14">
        <f>Energy_36!K30</f>
        <v>12640.484225644086</v>
      </c>
      <c r="D12" s="14">
        <f>Energy_36!K33</f>
        <v>12630.091008880949</v>
      </c>
      <c r="E12" s="14">
        <f t="shared" si="0"/>
        <v>-10.393216763137389</v>
      </c>
      <c r="F12" s="20">
        <f t="shared" si="1"/>
        <v>-8.222166633500283E-4</v>
      </c>
      <c r="G12" s="14">
        <f>Energy_36!H30</f>
        <v>1541.7824595202653</v>
      </c>
      <c r="H12" s="14">
        <f>Energy_36!H33</f>
        <v>1537.7192623549463</v>
      </c>
      <c r="I12" s="14">
        <f>Energy_36!I30</f>
        <v>1541.7824595202653</v>
      </c>
      <c r="J12" s="14">
        <f>Energy_36!I33</f>
        <v>1537.7192623549463</v>
      </c>
      <c r="K12" s="14">
        <f t="shared" si="2"/>
        <v>-4.0631971653190249</v>
      </c>
    </row>
    <row r="13" spans="1:11" ht="30.75" customHeight="1">
      <c r="A13" s="5" t="str">
        <f>Energy_36!C34</f>
        <v>B</v>
      </c>
      <c r="B13" s="9">
        <f>Energy_36!B34</f>
        <v>0.3</v>
      </c>
      <c r="C13" s="15">
        <f>Energy_36!K34</f>
        <v>14014.408420751439</v>
      </c>
      <c r="D13" s="15">
        <f>Energy_36!K37</f>
        <v>13992.568576878908</v>
      </c>
      <c r="E13" s="15">
        <f t="shared" si="0"/>
        <v>-21.839843872530764</v>
      </c>
      <c r="F13" s="21">
        <f t="shared" si="1"/>
        <v>-1.5583850004108335E-3</v>
      </c>
      <c r="G13" s="15">
        <f>Energy_36!H34</f>
        <v>1984.4060042860983</v>
      </c>
      <c r="H13" s="15">
        <f>Energy_36!H37</f>
        <v>1800.8967601194397</v>
      </c>
      <c r="I13" s="15">
        <f>Energy_36!I34</f>
        <v>3212.5161809653873</v>
      </c>
      <c r="J13" s="15">
        <f>Energy_36!I37</f>
        <v>3497.2427026994837</v>
      </c>
      <c r="K13" s="15">
        <f t="shared" si="2"/>
        <v>284.72652173409642</v>
      </c>
    </row>
    <row r="14" spans="1:11" ht="30.75" customHeight="1">
      <c r="A14" s="3" t="str">
        <f>Energy_36!C38</f>
        <v>C</v>
      </c>
      <c r="B14" s="8">
        <f>Energy_36!B38</f>
        <v>0.3</v>
      </c>
      <c r="C14" s="14">
        <f>Energy_36!K38</f>
        <v>12475.726286176403</v>
      </c>
      <c r="D14" s="14">
        <f>Energy_36!K41</f>
        <v>13148.396737202271</v>
      </c>
      <c r="E14" s="14">
        <f t="shared" si="0"/>
        <v>672.67045102586781</v>
      </c>
      <c r="F14" s="20">
        <f t="shared" si="1"/>
        <v>5.3918339950373317E-2</v>
      </c>
      <c r="G14" s="14">
        <f>Energy_36!H38</f>
        <v>1401.7178868769868</v>
      </c>
      <c r="H14" s="14">
        <f>Energy_36!H41</f>
        <v>1343.0333954526727</v>
      </c>
      <c r="I14" s="14">
        <f>Energy_36!I38</f>
        <v>1722.3726279082252</v>
      </c>
      <c r="J14" s="14">
        <f>Energy_36!I41</f>
        <v>2787.6931123656041</v>
      </c>
      <c r="K14" s="14">
        <f t="shared" si="2"/>
        <v>1065.3204844573788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Comparison</vt:lpstr>
      <vt:lpstr>Source_Totals</vt:lpstr>
      <vt:lpstr>Energy_36</vt:lpstr>
      <vt:lpstr>Cashflows_36</vt:lpstr>
      <vt:lpstr>Baseline_025</vt:lpstr>
      <vt:lpstr>Alpha_Ranges</vt:lpstr>
      <vt:lpstr>Capacity_Check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2026-09-24T20:34:22Z</dcterms:created>
  <dcterms:modified xsi:type="dcterms:W3CDTF">2026-10-03T10:49:21Z</dcterms:modified>
</cp:coreProperties>
</file>