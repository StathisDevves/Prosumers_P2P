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New Prosumer Study/OUTPUT/ALL STRATEGIES/Output_EQ1_EQ32_3Strategies_4Batteries_FINAL/"/>
    </mc:Choice>
  </mc:AlternateContent>
  <xr:revisionPtr revIDLastSave="0" documentId="8_{59773A8F-7E52-2347-86D8-05A8A2346D72}" xr6:coauthVersionLast="36" xr6:coauthVersionMax="36" xr10:uidLastSave="{00000000-0000-0000-0000-000000000000}"/>
  <bookViews>
    <workbookView xWindow="0" yWindow="500" windowWidth="28800" windowHeight="16360" xr2:uid="{00000000-000D-0000-FFFF-FFFF00000000}"/>
  </bookViews>
  <sheets>
    <sheet name="README" sheetId="1" r:id="rId1"/>
    <sheet name="Monthly_Aggregates" sheetId="2" r:id="rId2"/>
    <sheet name="Monthly_Elasticity" sheetId="3" r:id="rId3"/>
    <sheet name="Annual_Aggregates" sheetId="4" r:id="rId4"/>
    <sheet name="Annual_Elasticity" sheetId="5" r:id="rId5"/>
    <sheet name="Charts" sheetId="6" r:id="rId6"/>
  </sheets>
  <calcPr calcId="181029"/>
</workbook>
</file>

<file path=xl/calcChain.xml><?xml version="1.0" encoding="utf-8"?>
<calcChain xmlns="http://schemas.openxmlformats.org/spreadsheetml/2006/main">
  <c r="B103" i="6" l="1"/>
  <c r="C96" i="6"/>
  <c r="B91" i="6"/>
  <c r="D87" i="6"/>
  <c r="C87" i="6"/>
  <c r="B87" i="6"/>
  <c r="C83" i="6"/>
  <c r="D81" i="6"/>
  <c r="B80" i="6"/>
  <c r="B78" i="6"/>
  <c r="C76" i="6"/>
  <c r="D74" i="6"/>
  <c r="D72" i="6"/>
  <c r="C72" i="6"/>
  <c r="B72" i="6"/>
  <c r="D57" i="6"/>
  <c r="C57" i="6"/>
  <c r="B57" i="6"/>
  <c r="C51" i="6"/>
  <c r="B49" i="6"/>
  <c r="B46" i="6"/>
  <c r="D43" i="6"/>
  <c r="D42" i="6"/>
  <c r="C42" i="6"/>
  <c r="B42" i="6"/>
  <c r="G15" i="5"/>
  <c r="F15" i="5"/>
  <c r="D15" i="5"/>
  <c r="B114" i="6" s="1"/>
  <c r="G14" i="5"/>
  <c r="F14" i="5"/>
  <c r="D14" i="5"/>
  <c r="B113" i="6" s="1"/>
  <c r="G13" i="5"/>
  <c r="F13" i="5"/>
  <c r="D13" i="5"/>
  <c r="B112" i="6" s="1"/>
  <c r="G12" i="5"/>
  <c r="F12" i="5"/>
  <c r="D12" i="5"/>
  <c r="B111" i="6" s="1"/>
  <c r="G11" i="5"/>
  <c r="F11" i="5"/>
  <c r="D11" i="5"/>
  <c r="B110" i="6" s="1"/>
  <c r="G10" i="5"/>
  <c r="F10" i="5"/>
  <c r="E10" i="5"/>
  <c r="C109" i="6" s="1"/>
  <c r="D10" i="5"/>
  <c r="B109" i="6" s="1"/>
  <c r="G9" i="5"/>
  <c r="F9" i="5"/>
  <c r="D9" i="5"/>
  <c r="B108" i="6" s="1"/>
  <c r="G8" i="5"/>
  <c r="F8" i="5"/>
  <c r="D8" i="5"/>
  <c r="B107" i="6" s="1"/>
  <c r="G7" i="5"/>
  <c r="F7" i="5"/>
  <c r="D7" i="5"/>
  <c r="B106" i="6" s="1"/>
  <c r="G6" i="5"/>
  <c r="F6" i="5"/>
  <c r="D6" i="5"/>
  <c r="B105" i="6" s="1"/>
  <c r="G5" i="5"/>
  <c r="F5" i="5"/>
  <c r="D5" i="5"/>
  <c r="B104" i="6" s="1"/>
  <c r="G4" i="5"/>
  <c r="F4" i="5"/>
  <c r="M15" i="3"/>
  <c r="D98" i="6" s="1"/>
  <c r="L15" i="3"/>
  <c r="D83" i="6" s="1"/>
  <c r="K15" i="3"/>
  <c r="D68" i="6" s="1"/>
  <c r="J15" i="3"/>
  <c r="D53" i="6" s="1"/>
  <c r="I15" i="3"/>
  <c r="C98" i="6" s="1"/>
  <c r="H15" i="3"/>
  <c r="G15" i="3"/>
  <c r="C68" i="6" s="1"/>
  <c r="F15" i="3"/>
  <c r="C53" i="6" s="1"/>
  <c r="E15" i="3"/>
  <c r="B98" i="6" s="1"/>
  <c r="D15" i="3"/>
  <c r="B83" i="6" s="1"/>
  <c r="C15" i="3"/>
  <c r="B68" i="6" s="1"/>
  <c r="B15" i="3"/>
  <c r="B53" i="6" s="1"/>
  <c r="M14" i="3"/>
  <c r="D97" i="6" s="1"/>
  <c r="L14" i="3"/>
  <c r="D82" i="6" s="1"/>
  <c r="K14" i="3"/>
  <c r="D67" i="6" s="1"/>
  <c r="J14" i="3"/>
  <c r="D52" i="6" s="1"/>
  <c r="I14" i="3"/>
  <c r="C97" i="6" s="1"/>
  <c r="H14" i="3"/>
  <c r="C82" i="6" s="1"/>
  <c r="G14" i="3"/>
  <c r="C67" i="6" s="1"/>
  <c r="F14" i="3"/>
  <c r="C52" i="6" s="1"/>
  <c r="E14" i="3"/>
  <c r="B97" i="6" s="1"/>
  <c r="D14" i="3"/>
  <c r="B82" i="6" s="1"/>
  <c r="C14" i="3"/>
  <c r="B67" i="6" s="1"/>
  <c r="B14" i="3"/>
  <c r="B52" i="6" s="1"/>
  <c r="M13" i="3"/>
  <c r="D96" i="6" s="1"/>
  <c r="L13" i="3"/>
  <c r="K13" i="3"/>
  <c r="D66" i="6" s="1"/>
  <c r="J13" i="3"/>
  <c r="D51" i="6" s="1"/>
  <c r="I13" i="3"/>
  <c r="H13" i="3"/>
  <c r="C81" i="6" s="1"/>
  <c r="G13" i="3"/>
  <c r="C66" i="6" s="1"/>
  <c r="F13" i="3"/>
  <c r="E13" i="3"/>
  <c r="B96" i="6" s="1"/>
  <c r="D13" i="3"/>
  <c r="B81" i="6" s="1"/>
  <c r="C13" i="3"/>
  <c r="B66" i="6" s="1"/>
  <c r="B13" i="3"/>
  <c r="B51" i="6" s="1"/>
  <c r="M12" i="3"/>
  <c r="D95" i="6" s="1"/>
  <c r="L12" i="3"/>
  <c r="D80" i="6" s="1"/>
  <c r="K12" i="3"/>
  <c r="D65" i="6" s="1"/>
  <c r="J12" i="3"/>
  <c r="D50" i="6" s="1"/>
  <c r="I12" i="3"/>
  <c r="C95" i="6" s="1"/>
  <c r="H12" i="3"/>
  <c r="C80" i="6" s="1"/>
  <c r="G12" i="3"/>
  <c r="C65" i="6" s="1"/>
  <c r="F12" i="3"/>
  <c r="C50" i="6" s="1"/>
  <c r="E12" i="3"/>
  <c r="B95" i="6" s="1"/>
  <c r="D12" i="3"/>
  <c r="C12" i="3"/>
  <c r="B65" i="6" s="1"/>
  <c r="B12" i="3"/>
  <c r="B50" i="6" s="1"/>
  <c r="M11" i="3"/>
  <c r="D94" i="6" s="1"/>
  <c r="L11" i="3"/>
  <c r="D79" i="6" s="1"/>
  <c r="K11" i="3"/>
  <c r="D64" i="6" s="1"/>
  <c r="J11" i="3"/>
  <c r="D49" i="6" s="1"/>
  <c r="I11" i="3"/>
  <c r="C94" i="6" s="1"/>
  <c r="H11" i="3"/>
  <c r="C79" i="6" s="1"/>
  <c r="G11" i="3"/>
  <c r="C64" i="6" s="1"/>
  <c r="F11" i="3"/>
  <c r="C49" i="6" s="1"/>
  <c r="E11" i="3"/>
  <c r="B94" i="6" s="1"/>
  <c r="D11" i="3"/>
  <c r="B79" i="6" s="1"/>
  <c r="C11" i="3"/>
  <c r="B64" i="6" s="1"/>
  <c r="B11" i="3"/>
  <c r="M10" i="3"/>
  <c r="D93" i="6" s="1"/>
  <c r="L10" i="3"/>
  <c r="D78" i="6" s="1"/>
  <c r="K10" i="3"/>
  <c r="D63" i="6" s="1"/>
  <c r="J10" i="3"/>
  <c r="D48" i="6" s="1"/>
  <c r="I10" i="3"/>
  <c r="C93" i="6" s="1"/>
  <c r="H10" i="3"/>
  <c r="C78" i="6" s="1"/>
  <c r="G10" i="3"/>
  <c r="C63" i="6" s="1"/>
  <c r="F10" i="3"/>
  <c r="C48" i="6" s="1"/>
  <c r="E10" i="3"/>
  <c r="B93" i="6" s="1"/>
  <c r="D10" i="3"/>
  <c r="C10" i="3"/>
  <c r="B63" i="6" s="1"/>
  <c r="B10" i="3"/>
  <c r="B48" i="6" s="1"/>
  <c r="M9" i="3"/>
  <c r="D92" i="6" s="1"/>
  <c r="L9" i="3"/>
  <c r="D77" i="6" s="1"/>
  <c r="K9" i="3"/>
  <c r="D62" i="6" s="1"/>
  <c r="J9" i="3"/>
  <c r="D47" i="6" s="1"/>
  <c r="I9" i="3"/>
  <c r="C92" i="6" s="1"/>
  <c r="H9" i="3"/>
  <c r="C77" i="6" s="1"/>
  <c r="G9" i="3"/>
  <c r="C62" i="6" s="1"/>
  <c r="F9" i="3"/>
  <c r="C47" i="6" s="1"/>
  <c r="E9" i="3"/>
  <c r="B92" i="6" s="1"/>
  <c r="D9" i="3"/>
  <c r="B77" i="6" s="1"/>
  <c r="C9" i="3"/>
  <c r="B62" i="6" s="1"/>
  <c r="B9" i="3"/>
  <c r="B47" i="6" s="1"/>
  <c r="M8" i="3"/>
  <c r="D91" i="6" s="1"/>
  <c r="L8" i="3"/>
  <c r="D76" i="6" s="1"/>
  <c r="K8" i="3"/>
  <c r="D61" i="6" s="1"/>
  <c r="J8" i="3"/>
  <c r="D46" i="6" s="1"/>
  <c r="I8" i="3"/>
  <c r="C91" i="6" s="1"/>
  <c r="H8" i="3"/>
  <c r="G8" i="3"/>
  <c r="C61" i="6" s="1"/>
  <c r="F8" i="3"/>
  <c r="C46" i="6" s="1"/>
  <c r="E8" i="3"/>
  <c r="D8" i="3"/>
  <c r="B76" i="6" s="1"/>
  <c r="C8" i="3"/>
  <c r="B61" i="6" s="1"/>
  <c r="B8" i="3"/>
  <c r="M7" i="3"/>
  <c r="D90" i="6" s="1"/>
  <c r="L7" i="3"/>
  <c r="D75" i="6" s="1"/>
  <c r="K7" i="3"/>
  <c r="D60" i="6" s="1"/>
  <c r="J7" i="3"/>
  <c r="D45" i="6" s="1"/>
  <c r="I7" i="3"/>
  <c r="C90" i="6" s="1"/>
  <c r="H7" i="3"/>
  <c r="C75" i="6" s="1"/>
  <c r="G7" i="3"/>
  <c r="C60" i="6" s="1"/>
  <c r="F7" i="3"/>
  <c r="C45" i="6" s="1"/>
  <c r="E7" i="3"/>
  <c r="B90" i="6" s="1"/>
  <c r="D7" i="3"/>
  <c r="B75" i="6" s="1"/>
  <c r="C7" i="3"/>
  <c r="B60" i="6" s="1"/>
  <c r="B7" i="3"/>
  <c r="B45" i="6" s="1"/>
  <c r="M6" i="3"/>
  <c r="D89" i="6" s="1"/>
  <c r="L6" i="3"/>
  <c r="K6" i="3"/>
  <c r="D59" i="6" s="1"/>
  <c r="J6" i="3"/>
  <c r="D44" i="6" s="1"/>
  <c r="I6" i="3"/>
  <c r="C89" i="6" s="1"/>
  <c r="H6" i="3"/>
  <c r="C74" i="6" s="1"/>
  <c r="G6" i="3"/>
  <c r="C59" i="6" s="1"/>
  <c r="F6" i="3"/>
  <c r="C44" i="6" s="1"/>
  <c r="E6" i="3"/>
  <c r="B89" i="6" s="1"/>
  <c r="D6" i="3"/>
  <c r="B74" i="6" s="1"/>
  <c r="C6" i="3"/>
  <c r="B59" i="6" s="1"/>
  <c r="B6" i="3"/>
  <c r="B44" i="6" s="1"/>
  <c r="M5" i="3"/>
  <c r="E15" i="5" s="1"/>
  <c r="C114" i="6" s="1"/>
  <c r="L5" i="3"/>
  <c r="D73" i="6" s="1"/>
  <c r="K5" i="3"/>
  <c r="D58" i="6" s="1"/>
  <c r="J5" i="3"/>
  <c r="E12" i="5" s="1"/>
  <c r="C111" i="6" s="1"/>
  <c r="I5" i="3"/>
  <c r="C88" i="6" s="1"/>
  <c r="H5" i="3"/>
  <c r="C73" i="6" s="1"/>
  <c r="G5" i="3"/>
  <c r="C58" i="6" s="1"/>
  <c r="F5" i="3"/>
  <c r="E8" i="5" s="1"/>
  <c r="C107" i="6" s="1"/>
  <c r="E5" i="3"/>
  <c r="B88" i="6" s="1"/>
  <c r="D5" i="3"/>
  <c r="B73" i="6" s="1"/>
  <c r="C5" i="3"/>
  <c r="B58" i="6" s="1"/>
  <c r="B5" i="3"/>
  <c r="B43" i="6" s="1"/>
  <c r="E9" i="5" l="1"/>
  <c r="C108" i="6" s="1"/>
  <c r="E5" i="5"/>
  <c r="C104" i="6" s="1"/>
  <c r="E6" i="5"/>
  <c r="C105" i="6" s="1"/>
  <c r="E13" i="5"/>
  <c r="C112" i="6" s="1"/>
  <c r="E14" i="5"/>
  <c r="C113" i="6" s="1"/>
  <c r="C43" i="6"/>
  <c r="E7" i="5"/>
  <c r="C106" i="6" s="1"/>
  <c r="E11" i="5"/>
  <c r="C110" i="6" s="1"/>
  <c r="D88" i="6"/>
  <c r="E4" i="5"/>
  <c r="C103" i="6" s="1"/>
</calcChain>
</file>

<file path=xl/sharedStrings.xml><?xml version="1.0" encoding="utf-8"?>
<sst xmlns="http://schemas.openxmlformats.org/spreadsheetml/2006/main" count="268" uniqueCount="123">
  <si>
    <t>Elasticity ε — Monthly and Annual Comparative Analysis</t>
  </si>
  <si>
    <t>Item</t>
  </si>
  <si>
    <t>Definition / Method</t>
  </si>
  <si>
    <t>Unit</t>
  </si>
  <si>
    <t>Reference</t>
  </si>
  <si>
    <t>Important note</t>
  </si>
  <si>
    <t>Excel implementation</t>
  </si>
  <si>
    <t>Monthly grid import</t>
  </si>
  <si>
    <t>E_grid,m = Σ_t∈m E_grid,t</t>
  </si>
  <si>
    <t>kWh</t>
  </si>
  <si>
    <t>Column X: E_grid,t EQ2–EQ4</t>
  </si>
  <si>
    <t>Sum of hourly grid imports by month.</t>
  </si>
  <si>
    <t>SUM of hourly grid-import values</t>
  </si>
  <si>
    <t>Monthly weighted purchase price</t>
  </si>
  <si>
    <t>P_m = Σ(P_t·E_grid,t) / ΣE_grid,t</t>
  </si>
  <si>
    <t>€/kWh</t>
  </si>
  <si>
    <t>Column L weighted by column X</t>
  </si>
  <si>
    <t>Hours with zero grid import receive zero weight.</t>
  </si>
  <si>
    <t>SUMPRODUCT(Price,GridImport)/SUM(GridImport)</t>
  </si>
  <si>
    <t>Monthly elasticity</t>
  </si>
  <si>
    <t>ε_m = (ΔE_grid,m / E_grid,m,prev) / (ΔP_m / P_m,prev)</t>
  </si>
  <si>
    <t>dimensionless</t>
  </si>
  <si>
    <t>Month-on-month aggregate elasticity</t>
  </si>
  <si>
    <t>January is blank because no previous month exists.</t>
  </si>
  <si>
    <t>((E_m-E_prev)/E_prev)/((P_m-P_prev)/P_prev)</t>
  </si>
  <si>
    <t>Annual aggregate elasticity</t>
  </si>
  <si>
    <t>ε_annual = (ΔE_annual/E_ref) / (ΔP_annual/P_ref)</t>
  </si>
  <si>
    <t>Reference scenario: Strategy A, 10 kWh</t>
  </si>
  <si>
    <t>The reference scenario itself is undefined (0/0) and is left blank.</t>
  </si>
  <si>
    <t>Scenario annual aggregate compared with A-10 kWh</t>
  </si>
  <si>
    <t>Annual weighted elasticity</t>
  </si>
  <si>
    <t>Σ(E_grid,m·ε_m) / ΣE_grid,m</t>
  </si>
  <si>
    <t>Weighted summary of monthly aggregate elasticities</t>
  </si>
  <si>
    <t>Provided because only one calendar year is available; a true year-on-year elasticity requires at least two years.</t>
  </si>
  <si>
    <t>SUMPRODUCT(monthly E, monthly ε)/SUM(monthly E)</t>
  </si>
  <si>
    <t>Price input</t>
  </si>
  <si>
    <t>Price,spot,t</t>
  </si>
  <si>
    <t>Source column L (converted from €/MWh in column J)</t>
  </si>
  <si>
    <t>Names and units follow the attached workbooks.</t>
  </si>
  <si>
    <t>Direct source aggregation</t>
  </si>
  <si>
    <t>Scenarios</t>
  </si>
  <si>
    <t>Strategies A, B, C × battery capacities 10, 15, 20, 30 kWh</t>
  </si>
  <si>
    <t>-</t>
  </si>
  <si>
    <t>12 attached workbooks</t>
  </si>
  <si>
    <t>All tables and charts are editable native Excel objects.</t>
  </si>
  <si>
    <t>Monthly Aggregate Inputs for Elasticity Calculation</t>
  </si>
  <si>
    <t>Month</t>
  </si>
  <si>
    <t>A-10kWh E_grid,m (kWh)</t>
  </si>
  <si>
    <t>A-10kWh P_m weighted (€/kWh)</t>
  </si>
  <si>
    <t>A-15kWh E_grid,m (kWh)</t>
  </si>
  <si>
    <t>A-15kWh P_m weighted (€/kWh)</t>
  </si>
  <si>
    <t>A-20kWh E_grid,m (kWh)</t>
  </si>
  <si>
    <t>A-20kWh P_m weighted (€/kWh)</t>
  </si>
  <si>
    <t>A-30kWh E_grid,m (kWh)</t>
  </si>
  <si>
    <t>A-30kWh P_m weighted (€/kWh)</t>
  </si>
  <si>
    <t>B-10kWh E_grid,m (kWh)</t>
  </si>
  <si>
    <t>B-10kWh P_m weighted (€/kWh)</t>
  </si>
  <si>
    <t>B-15kWh E_grid,m (kWh)</t>
  </si>
  <si>
    <t>B-15kWh P_m weighted (€/kWh)</t>
  </si>
  <si>
    <t>B-20kWh E_grid,m (kWh)</t>
  </si>
  <si>
    <t>B-20kWh P_m weighted (€/kWh)</t>
  </si>
  <si>
    <t>B-30kWh E_grid,m (kWh)</t>
  </si>
  <si>
    <t>B-30kWh P_m weighted (€/kWh)</t>
  </si>
  <si>
    <t>C-10kWh E_grid,m (kWh)</t>
  </si>
  <si>
    <t>C-10kWh P_m weighted (€/kWh)</t>
  </si>
  <si>
    <t>C-15kWh E_grid,m (kWh)</t>
  </si>
  <si>
    <t>C-15kWh P_m weighted (€/kWh)</t>
  </si>
  <si>
    <t>C-20kWh E_grid,m (kWh)</t>
  </si>
  <si>
    <t>C-20kWh P_m weighted (€/kWh)</t>
  </si>
  <si>
    <t>C-30kWh E_grid,m (kWh)</t>
  </si>
  <si>
    <t>C-30kWh P_m weighted (€/kWh)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</si>
  <si>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</si>
  <si>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</si>
  <si>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</si>
  <si>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</si>
  <si>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</si>
  <si>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</si>
  <si>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</si>
  <si>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</si>
  <si>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</si>
  <si>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</si>
  <si>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</si>
  <si>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</si>
  <si>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Elasticity ε — Month-on-Month Aggregate Method</t>
  </si>
  <si>
    <t>A-10kWh ε_m (-)</t>
  </si>
  <si>
    <t>A-15kWh ε_m (-)</t>
  </si>
  <si>
    <t>A-20kWh ε_m (-)</t>
  </si>
  <si>
    <t>A-30kWh ε_m (-)</t>
  </si>
  <si>
    <t>B-10kWh ε_m (-)</t>
  </si>
  <si>
    <t>B-15kWh ε_m (-)</t>
  </si>
  <si>
    <t>B-20kWh ε_m (-)</t>
  </si>
  <si>
    <t>B-30kWh ε_m (-)</t>
  </si>
  <si>
    <t>C-10kWh ε_m (-)</t>
  </si>
  <si>
    <t>C-15kWh ε_m (-)</t>
  </si>
  <si>
    <t>C-20kWh ε_m (-)</t>
  </si>
  <si>
    <t>C-30kWh ε_m (-)</t>
  </si>
  <si>
    <t>Annual Aggregate Inputs</t>
  </si>
  <si>
    <t>Strategy</t>
  </si>
  <si>
    <t>Battery capacity (kWh)</t>
  </si>
  <si>
    <t>Scenario</t>
  </si>
  <si>
    <t>Annual E_grid (kWh)</t>
  </si>
  <si>
    <t>Annual weighted P (€/kWh)</t>
  </si>
  <si>
    <t>A</t>
  </si>
  <si>
    <t>A-10kWh</t>
  </si>
  <si>
    <t>A-15kWh</t>
  </si>
  <si>
    <t>A-20kWh</t>
  </si>
  <si>
    <t>A-30kWh</t>
  </si>
  <si>
    <t>B</t>
  </si>
  <si>
    <t>B-10kWh</t>
  </si>
  <si>
    <t>B-15kWh</t>
  </si>
  <si>
    <t>B-20kWh</t>
  </si>
  <si>
    <t>B-30kWh</t>
  </si>
  <si>
    <t>C</t>
  </si>
  <si>
    <t>C-10kWh</t>
  </si>
  <si>
    <t>C-15kWh</t>
  </si>
  <si>
    <t>C-20kWh</t>
  </si>
  <si>
    <t>C-30kWh</t>
  </si>
  <si>
    <t>Annual Elasticity ε — Comparative and Weighted Measures</t>
  </si>
  <si>
    <t>Annual aggregate ε vs A-10 (-)</t>
  </si>
  <si>
    <t>Annual weighted monthly ε (-)</t>
  </si>
  <si>
    <t>Editable Comparative Charts — Elasticity ε</t>
  </si>
  <si>
    <t>Annual aggregate ε vs A-10</t>
  </si>
  <si>
    <t>Annual weighted monthly 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</si>
</sst>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/>
    <xf numFmtId="166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Elasticity </a:t>
            </a:r>
            <a:r>
              <a:rPr lang="el-GR"/>
              <a:t>ε — </a:t>
            </a:r>
            <a:r>
              <a:rPr lang="en-US"/>
              <a:t>Battery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Charts!$A$42:$A$53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Charts!$B$42:$B$53</c:f>
              <c:numCache>
                <c:formatCode>00,000</c:formatCode>
                <c:ptCount val="12"/>
                <c:pt idx="0">
                  <c:v>0</c:v>
                </c:pt>
                <c:pt idx="1">
                  <c:v>-9.6316942752074267E-2</c:v>
                </c:pt>
                <c:pt idx="2">
                  <c:v>0.33215668767334455</c:v>
                </c:pt>
                <c:pt idx="3">
                  <c:v>0.97573944988174854</c:v>
                </c:pt>
                <c:pt idx="4">
                  <c:v>22.930942458540031</c:v>
                </c:pt>
                <c:pt idx="5">
                  <c:v>-2.6283104522449654</c:v>
                </c:pt>
                <c:pt idx="6">
                  <c:v>-0.19472407587993135</c:v>
                </c:pt>
                <c:pt idx="7">
                  <c:v>9.8935343275347726E-2</c:v>
                </c:pt>
                <c:pt idx="8">
                  <c:v>2.2513233012130223</c:v>
                </c:pt>
                <c:pt idx="9">
                  <c:v>-0.97069624800173249</c:v>
                </c:pt>
                <c:pt idx="10">
                  <c:v>4.8864940765242402</c:v>
                </c:pt>
                <c:pt idx="11">
                  <c:v>-217.81533274089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3F-1C41-9704-D17DA6159A03}"/>
            </c:ext>
          </c:extLst>
        </c:ser>
        <c:ser>
          <c:idx val="1"/>
          <c:order val="1"/>
          <c:tx>
            <c:v>B-10kWh</c:v>
          </c:tx>
          <c:cat>
            <c:strRef>
              <c:f>Charts!$A$42:$A$53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Charts!$C$42:$C$53</c:f>
              <c:numCache>
                <c:formatCode>00,000</c:formatCode>
                <c:ptCount val="12"/>
                <c:pt idx="0">
                  <c:v>0</c:v>
                </c:pt>
                <c:pt idx="1">
                  <c:v>-0.83944710290019453</c:v>
                </c:pt>
                <c:pt idx="2">
                  <c:v>-0.14504470460423785</c:v>
                </c:pt>
                <c:pt idx="3">
                  <c:v>1.0076302001310802</c:v>
                </c:pt>
                <c:pt idx="4">
                  <c:v>3.1061243644586933</c:v>
                </c:pt>
                <c:pt idx="5">
                  <c:v>16.035319031927919</c:v>
                </c:pt>
                <c:pt idx="6">
                  <c:v>-0.13183803376791758</c:v>
                </c:pt>
                <c:pt idx="7">
                  <c:v>-0.23134116857208709</c:v>
                </c:pt>
                <c:pt idx="8">
                  <c:v>1.2043864463116376</c:v>
                </c:pt>
                <c:pt idx="9">
                  <c:v>-0.30383968047606835</c:v>
                </c:pt>
                <c:pt idx="10">
                  <c:v>2.9453362497533186</c:v>
                </c:pt>
                <c:pt idx="11">
                  <c:v>58.654884245068779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3F-1C41-9704-D17DA6159A03}"/>
            </c:ext>
          </c:extLst>
        </c:ser>
        <c:ser>
          <c:idx val="2"/>
          <c:order val="2"/>
          <c:tx>
            <c:v>C-10kWh</c:v>
          </c:tx>
          <c:cat>
            <c:strRef>
              <c:f>Charts!$A$42:$A$53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Charts!$D$42:$D$53</c:f>
              <c:numCache>
                <c:formatCode>00,000</c:formatCode>
                <c:ptCount val="12"/>
                <c:pt idx="0">
                  <c:v>0</c:v>
                </c:pt>
                <c:pt idx="1">
                  <c:v>-0.9916942510341995</c:v>
                </c:pt>
                <c:pt idx="2">
                  <c:v>-3.87601276007499E-2</c:v>
                </c:pt>
                <c:pt idx="3">
                  <c:v>0.73793376577861247</c:v>
                </c:pt>
                <c:pt idx="4">
                  <c:v>4.820076286245734</c:v>
                </c:pt>
                <c:pt idx="5">
                  <c:v>-34.018184924408736</c:v>
                </c:pt>
                <c:pt idx="6">
                  <c:v>-1.3153163143052351</c:v>
                </c:pt>
                <c:pt idx="7">
                  <c:v>-0.30184339752459238</c:v>
                </c:pt>
                <c:pt idx="8">
                  <c:v>3.6467536489373367</c:v>
                </c:pt>
                <c:pt idx="9">
                  <c:v>-0.51922183988003479</c:v>
                </c:pt>
                <c:pt idx="10">
                  <c:v>-0.48474832607398338</c:v>
                </c:pt>
                <c:pt idx="11">
                  <c:v>9.091928008519746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3F-1C41-9704-D17DA6159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Elasticity </a:t>
            </a:r>
            <a:r>
              <a:rPr lang="el-GR"/>
              <a:t>ε — </a:t>
            </a:r>
            <a:r>
              <a:rPr lang="en-US"/>
              <a:t>Battery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A-15kWh</c:v>
          </c:tx>
          <c:cat>
            <c:strRef>
              <c:f>Charts!$A$57:$A$68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Charts!$B$57:$B$68</c:f>
              <c:numCache>
                <c:formatCode>00,000</c:formatCode>
                <c:ptCount val="12"/>
                <c:pt idx="0">
                  <c:v>0</c:v>
                </c:pt>
                <c:pt idx="1">
                  <c:v>-1.1864350610667748E-2</c:v>
                </c:pt>
                <c:pt idx="2">
                  <c:v>0.33215668767334455</c:v>
                </c:pt>
                <c:pt idx="3">
                  <c:v>0.97573944988174854</c:v>
                </c:pt>
                <c:pt idx="4">
                  <c:v>22.930942458540031</c:v>
                </c:pt>
                <c:pt idx="5">
                  <c:v>-2.6283104522449654</c:v>
                </c:pt>
                <c:pt idx="6">
                  <c:v>-0.19472407587993135</c:v>
                </c:pt>
                <c:pt idx="7">
                  <c:v>9.8935343275347726E-2</c:v>
                </c:pt>
                <c:pt idx="8">
                  <c:v>2.2513233012130223</c:v>
                </c:pt>
                <c:pt idx="9">
                  <c:v>-0.97069624800173249</c:v>
                </c:pt>
                <c:pt idx="10">
                  <c:v>4.8864940765242402</c:v>
                </c:pt>
                <c:pt idx="11">
                  <c:v>-217.81533274089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0-DD40-996D-69E35B042925}"/>
            </c:ext>
          </c:extLst>
        </c:ser>
        <c:ser>
          <c:idx val="1"/>
          <c:order val="1"/>
          <c:tx>
            <c:v>B-15kWh</c:v>
          </c:tx>
          <c:cat>
            <c:strRef>
              <c:f>Charts!$A$57:$A$68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Charts!$C$57:$C$68</c:f>
              <c:numCache>
                <c:formatCode>00,000</c:formatCode>
                <c:ptCount val="12"/>
                <c:pt idx="0">
                  <c:v>0</c:v>
                </c:pt>
                <c:pt idx="1">
                  <c:v>-0.74426653443131507</c:v>
                </c:pt>
                <c:pt idx="2">
                  <c:v>-3.5068189648219943E-2</c:v>
                </c:pt>
                <c:pt idx="3">
                  <c:v>1.0449246704671662</c:v>
                </c:pt>
                <c:pt idx="4">
                  <c:v>3.6056569577969237</c:v>
                </c:pt>
                <c:pt idx="5">
                  <c:v>9.532437977528188</c:v>
                </c:pt>
                <c:pt idx="6">
                  <c:v>-9.8791044245133998E-3</c:v>
                </c:pt>
                <c:pt idx="7">
                  <c:v>-0.18662991443580193</c:v>
                </c:pt>
                <c:pt idx="8">
                  <c:v>1.2571328075834474</c:v>
                </c:pt>
                <c:pt idx="9">
                  <c:v>-0.66169661441078986</c:v>
                </c:pt>
                <c:pt idx="10">
                  <c:v>2.3451762652653159</c:v>
                </c:pt>
                <c:pt idx="11">
                  <c:v>11.692287036948288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0-DD40-996D-69E35B042925}"/>
            </c:ext>
          </c:extLst>
        </c:ser>
        <c:ser>
          <c:idx val="2"/>
          <c:order val="2"/>
          <c:tx>
            <c:v>C-15kWh</c:v>
          </c:tx>
          <c:cat>
            <c:strRef>
              <c:f>Charts!$A$57:$A$68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Charts!$D$57:$D$68</c:f>
              <c:numCache>
                <c:formatCode>00,000</c:formatCode>
                <c:ptCount val="12"/>
                <c:pt idx="0">
                  <c:v>0</c:v>
                </c:pt>
                <c:pt idx="1">
                  <c:v>-1.1334399964876576</c:v>
                </c:pt>
                <c:pt idx="2">
                  <c:v>0.24694927706994066</c:v>
                </c:pt>
                <c:pt idx="3">
                  <c:v>0.86638877364057354</c:v>
                </c:pt>
                <c:pt idx="4">
                  <c:v>9.1712357514999994</c:v>
                </c:pt>
                <c:pt idx="5">
                  <c:v>-28.46527786303756</c:v>
                </c:pt>
                <c:pt idx="6">
                  <c:v>-1.9321076946283615</c:v>
                </c:pt>
                <c:pt idx="7">
                  <c:v>-0.18221220240079358</c:v>
                </c:pt>
                <c:pt idx="8">
                  <c:v>4.5304238971545505</c:v>
                </c:pt>
                <c:pt idx="9">
                  <c:v>-0.51767045535715639</c:v>
                </c:pt>
                <c:pt idx="10">
                  <c:v>0.16902230915390279</c:v>
                </c:pt>
                <c:pt idx="11">
                  <c:v>10.580758642684707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0-DD40-996D-69E35B04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Elasticity </a:t>
            </a:r>
            <a:r>
              <a:rPr lang="el-GR"/>
              <a:t>ε — </a:t>
            </a:r>
            <a:r>
              <a:rPr lang="en-US"/>
              <a:t>Battery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A-20kWh</c:v>
          </c:tx>
          <c:cat>
            <c:strRef>
              <c:f>Charts!$A$72:$A$83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Charts!$B$72:$B$83</c:f>
              <c:numCache>
                <c:formatCode>00,000</c:formatCode>
                <c:ptCount val="12"/>
                <c:pt idx="0">
                  <c:v>0</c:v>
                </c:pt>
                <c:pt idx="1">
                  <c:v>-1.1864350610667748E-2</c:v>
                </c:pt>
                <c:pt idx="2">
                  <c:v>0.33215668767334455</c:v>
                </c:pt>
                <c:pt idx="3">
                  <c:v>0.97573944988174854</c:v>
                </c:pt>
                <c:pt idx="4">
                  <c:v>22.930942458540031</c:v>
                </c:pt>
                <c:pt idx="5">
                  <c:v>-2.6283104522449654</c:v>
                </c:pt>
                <c:pt idx="6">
                  <c:v>-0.19472407587993135</c:v>
                </c:pt>
                <c:pt idx="7">
                  <c:v>9.8935343275347726E-2</c:v>
                </c:pt>
                <c:pt idx="8">
                  <c:v>2.2513233012130223</c:v>
                </c:pt>
                <c:pt idx="9">
                  <c:v>-0.97069624800173249</c:v>
                </c:pt>
                <c:pt idx="10">
                  <c:v>4.8864940765242402</c:v>
                </c:pt>
                <c:pt idx="11">
                  <c:v>-217.81533274089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5-0C4F-8BC2-E54210F4DDEE}"/>
            </c:ext>
          </c:extLst>
        </c:ser>
        <c:ser>
          <c:idx val="1"/>
          <c:order val="1"/>
          <c:tx>
            <c:v>B-20kWh</c:v>
          </c:tx>
          <c:cat>
            <c:strRef>
              <c:f>Charts!$A$72:$A$83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Charts!$C$72:$C$83</c:f>
              <c:numCache>
                <c:formatCode>00,000</c:formatCode>
                <c:ptCount val="12"/>
                <c:pt idx="0">
                  <c:v>0</c:v>
                </c:pt>
                <c:pt idx="1">
                  <c:v>-0.69161921486451228</c:v>
                </c:pt>
                <c:pt idx="2">
                  <c:v>0.16949114471340915</c:v>
                </c:pt>
                <c:pt idx="3">
                  <c:v>1.0752286320989972</c:v>
                </c:pt>
                <c:pt idx="4">
                  <c:v>3.4432806347861562</c:v>
                </c:pt>
                <c:pt idx="5">
                  <c:v>-6.5997944094929144</c:v>
                </c:pt>
                <c:pt idx="6">
                  <c:v>-3.066147763199115E-2</c:v>
                </c:pt>
                <c:pt idx="7">
                  <c:v>-0.14557328100959846</c:v>
                </c:pt>
                <c:pt idx="8">
                  <c:v>1.4562915823385714</c:v>
                </c:pt>
                <c:pt idx="9">
                  <c:v>-0.78045327995074787</c:v>
                </c:pt>
                <c:pt idx="10">
                  <c:v>2.1464105194889984</c:v>
                </c:pt>
                <c:pt idx="11">
                  <c:v>8.7160357005070619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E5-0C4F-8BC2-E54210F4DDEE}"/>
            </c:ext>
          </c:extLst>
        </c:ser>
        <c:ser>
          <c:idx val="2"/>
          <c:order val="2"/>
          <c:tx>
            <c:v>C-20kWh</c:v>
          </c:tx>
          <c:cat>
            <c:strRef>
              <c:f>Charts!$A$72:$A$83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Charts!$D$72:$D$83</c:f>
              <c:numCache>
                <c:formatCode>00,000</c:formatCode>
                <c:ptCount val="12"/>
                <c:pt idx="0">
                  <c:v>0</c:v>
                </c:pt>
                <c:pt idx="1">
                  <c:v>-1.1925347821163763</c:v>
                </c:pt>
                <c:pt idx="2">
                  <c:v>0.44039092202117491</c:v>
                </c:pt>
                <c:pt idx="3">
                  <c:v>1.0130246141278374</c:v>
                </c:pt>
                <c:pt idx="4">
                  <c:v>7.282911631234696</c:v>
                </c:pt>
                <c:pt idx="5">
                  <c:v>18.707815474642384</c:v>
                </c:pt>
                <c:pt idx="6">
                  <c:v>-0.42708408043355417</c:v>
                </c:pt>
                <c:pt idx="7">
                  <c:v>0.41337011524552814</c:v>
                </c:pt>
                <c:pt idx="8">
                  <c:v>5.8240285198931874</c:v>
                </c:pt>
                <c:pt idx="9">
                  <c:v>-0.3097527203529733</c:v>
                </c:pt>
                <c:pt idx="10">
                  <c:v>-1.339388042341747</c:v>
                </c:pt>
                <c:pt idx="11">
                  <c:v>10.338555618681511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E5-0C4F-8BC2-E54210F4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Elasticity </a:t>
            </a:r>
            <a:r>
              <a:rPr lang="el-GR"/>
              <a:t>ε — </a:t>
            </a:r>
            <a:r>
              <a:rPr lang="en-US"/>
              <a:t>Battery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A-30kWh</c:v>
          </c:tx>
          <c:cat>
            <c:strRef>
              <c:f>Charts!$A$87:$A$98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Charts!$B$87:$B$98</c:f>
              <c:numCache>
                <c:formatCode>00,000</c:formatCode>
                <c:ptCount val="12"/>
                <c:pt idx="0">
                  <c:v>0</c:v>
                </c:pt>
                <c:pt idx="1">
                  <c:v>-1.1864350610667748E-2</c:v>
                </c:pt>
                <c:pt idx="2">
                  <c:v>0.33215668767334455</c:v>
                </c:pt>
                <c:pt idx="3">
                  <c:v>0.97573944988174854</c:v>
                </c:pt>
                <c:pt idx="4">
                  <c:v>22.930942458540031</c:v>
                </c:pt>
                <c:pt idx="5">
                  <c:v>-2.6283104522449654</c:v>
                </c:pt>
                <c:pt idx="6">
                  <c:v>-0.19472407587993135</c:v>
                </c:pt>
                <c:pt idx="7">
                  <c:v>9.8935343275347726E-2</c:v>
                </c:pt>
                <c:pt idx="8">
                  <c:v>2.2513233012130223</c:v>
                </c:pt>
                <c:pt idx="9">
                  <c:v>-0.97069624800173249</c:v>
                </c:pt>
                <c:pt idx="10">
                  <c:v>4.8864940765242402</c:v>
                </c:pt>
                <c:pt idx="11">
                  <c:v>-217.81533274089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6-9743-B524-8F37EB7E350F}"/>
            </c:ext>
          </c:extLst>
        </c:ser>
        <c:ser>
          <c:idx val="1"/>
          <c:order val="1"/>
          <c:tx>
            <c:v>B-30kWh</c:v>
          </c:tx>
          <c:cat>
            <c:strRef>
              <c:f>Charts!$A$87:$A$98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Charts!$C$87:$C$98</c:f>
              <c:numCache>
                <c:formatCode>00,000</c:formatCode>
                <c:ptCount val="12"/>
                <c:pt idx="0">
                  <c:v>0</c:v>
                </c:pt>
                <c:pt idx="1">
                  <c:v>-0.65353707892900237</c:v>
                </c:pt>
                <c:pt idx="2">
                  <c:v>0.21898022154178082</c:v>
                </c:pt>
                <c:pt idx="3">
                  <c:v>1.0824175415960855</c:v>
                </c:pt>
                <c:pt idx="4">
                  <c:v>5.0876930831099978</c:v>
                </c:pt>
                <c:pt idx="5">
                  <c:v>-1.7308370583444628</c:v>
                </c:pt>
                <c:pt idx="6">
                  <c:v>8.3946460319894393E-3</c:v>
                </c:pt>
                <c:pt idx="7">
                  <c:v>-0.14550628575800464</c:v>
                </c:pt>
                <c:pt idx="8">
                  <c:v>1.5356786275347158</c:v>
                </c:pt>
                <c:pt idx="9">
                  <c:v>-0.74430469155668488</c:v>
                </c:pt>
                <c:pt idx="10">
                  <c:v>2.0147882561383352</c:v>
                </c:pt>
                <c:pt idx="11">
                  <c:v>9.0218445849937083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6-9743-B524-8F37EB7E350F}"/>
            </c:ext>
          </c:extLst>
        </c:ser>
        <c:ser>
          <c:idx val="2"/>
          <c:order val="2"/>
          <c:tx>
            <c:v>C-30kWh</c:v>
          </c:tx>
          <c:cat>
            <c:strRef>
              <c:f>Charts!$A$87:$A$98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Charts!$D$87:$D$98</c:f>
              <c:numCache>
                <c:formatCode>00,000</c:formatCode>
                <c:ptCount val="12"/>
                <c:pt idx="0">
                  <c:v>0</c:v>
                </c:pt>
                <c:pt idx="1">
                  <c:v>-1.3252386047119773</c:v>
                </c:pt>
                <c:pt idx="2">
                  <c:v>0.34314399878256491</c:v>
                </c:pt>
                <c:pt idx="3">
                  <c:v>1.135524646625873</c:v>
                </c:pt>
                <c:pt idx="4">
                  <c:v>2.9668857761694682</c:v>
                </c:pt>
                <c:pt idx="5">
                  <c:v>-0.88276979346401063</c:v>
                </c:pt>
                <c:pt idx="6">
                  <c:v>0.15375854609292183</c:v>
                </c:pt>
                <c:pt idx="7">
                  <c:v>0.93648032045594076</c:v>
                </c:pt>
                <c:pt idx="8">
                  <c:v>8.0545592382572906</c:v>
                </c:pt>
                <c:pt idx="9">
                  <c:v>-0.26720140282614468</c:v>
                </c:pt>
                <c:pt idx="10">
                  <c:v>-2.2561958603440071</c:v>
                </c:pt>
                <c:pt idx="11">
                  <c:v>10.502930246858682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6-9743-B524-8F37EB7E3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Elasticity </a:t>
            </a:r>
            <a:r>
              <a:rPr lang="el-GR"/>
              <a:t>ε — 12 </a:t>
            </a:r>
            <a:r>
              <a:rPr lang="en-US"/>
              <a:t>Scenarios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aggregate ε vs A-10</c:v>
          </c:tx>
          <c:invertIfNegative val="1"/>
          <c:cat>
            <c:strRef>
              <c:f>Charts!$A$103:$A$114</c:f>
              <c:strCache>
                <c:ptCount val="12"/>
                <c:pt idx="0">
                  <c:v>A-10kWh</c:v>
                </c:pt>
                <c:pt idx="1">
                  <c:v>A-15kWh</c:v>
                </c:pt>
                <c:pt idx="2">
                  <c:v>A-20kWh</c:v>
                </c:pt>
                <c:pt idx="3">
                  <c:v>A-30kWh</c:v>
                </c:pt>
                <c:pt idx="4">
                  <c:v>B-10kWh</c:v>
                </c:pt>
                <c:pt idx="5">
                  <c:v>B-15kWh</c:v>
                </c:pt>
                <c:pt idx="6">
                  <c:v>B-20kWh</c:v>
                </c:pt>
                <c:pt idx="7">
                  <c:v>B-30kWh</c:v>
                </c:pt>
                <c:pt idx="8">
                  <c:v>C-10kWh</c:v>
                </c:pt>
                <c:pt idx="9">
                  <c:v>C-15kWh</c:v>
                </c:pt>
                <c:pt idx="10">
                  <c:v>C-20kWh</c:v>
                </c:pt>
                <c:pt idx="11">
                  <c:v>C-30kWh</c:v>
                </c:pt>
              </c:strCache>
            </c:strRef>
          </c:cat>
          <c:val>
            <c:numRef>
              <c:f>Charts!$B$103:$B$114</c:f>
              <c:numCache>
                <c:formatCode>00,000</c:formatCode>
                <c:ptCount val="12"/>
                <c:pt idx="0">
                  <c:v>0</c:v>
                </c:pt>
                <c:pt idx="1">
                  <c:v>2.3704508841050402</c:v>
                </c:pt>
                <c:pt idx="2">
                  <c:v>2.3704508841050402</c:v>
                </c:pt>
                <c:pt idx="3">
                  <c:v>2.3704508841050402</c:v>
                </c:pt>
                <c:pt idx="4">
                  <c:v>5.3075179864108124</c:v>
                </c:pt>
                <c:pt idx="5">
                  <c:v>6.220564395878351</c:v>
                </c:pt>
                <c:pt idx="6">
                  <c:v>6.2376654633159561</c:v>
                </c:pt>
                <c:pt idx="7">
                  <c:v>6.000705100364125</c:v>
                </c:pt>
                <c:pt idx="8">
                  <c:v>3.278183183947379</c:v>
                </c:pt>
                <c:pt idx="9">
                  <c:v>4.4391141983944804</c:v>
                </c:pt>
                <c:pt idx="10">
                  <c:v>5.2744757932792039</c:v>
                </c:pt>
                <c:pt idx="11">
                  <c:v>5.2313703656912089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0-1E4B-B7C9-04199D75984D}"/>
            </c:ext>
          </c:extLst>
        </c:ser>
        <c:ser>
          <c:idx val="1"/>
          <c:order val="1"/>
          <c:tx>
            <c:v>Annual weighted monthly ε</c:v>
          </c:tx>
          <c:invertIfNegative val="1"/>
          <c:cat>
            <c:strRef>
              <c:f>Charts!$A$103:$A$114</c:f>
              <c:strCache>
                <c:ptCount val="12"/>
                <c:pt idx="0">
                  <c:v>A-10kWh</c:v>
                </c:pt>
                <c:pt idx="1">
                  <c:v>A-15kWh</c:v>
                </c:pt>
                <c:pt idx="2">
                  <c:v>A-20kWh</c:v>
                </c:pt>
                <c:pt idx="3">
                  <c:v>A-30kWh</c:v>
                </c:pt>
                <c:pt idx="4">
                  <c:v>B-10kWh</c:v>
                </c:pt>
                <c:pt idx="5">
                  <c:v>B-15kWh</c:v>
                </c:pt>
                <c:pt idx="6">
                  <c:v>B-20kWh</c:v>
                </c:pt>
                <c:pt idx="7">
                  <c:v>B-30kWh</c:v>
                </c:pt>
                <c:pt idx="8">
                  <c:v>C-10kWh</c:v>
                </c:pt>
                <c:pt idx="9">
                  <c:v>C-15kWh</c:v>
                </c:pt>
                <c:pt idx="10">
                  <c:v>C-20kWh</c:v>
                </c:pt>
                <c:pt idx="11">
                  <c:v>C-30kWh</c:v>
                </c:pt>
              </c:strCache>
            </c:strRef>
          </c:cat>
          <c:val>
            <c:numRef>
              <c:f>Charts!$C$103:$C$114</c:f>
              <c:numCache>
                <c:formatCode>00,000</c:formatCode>
                <c:ptCount val="12"/>
                <c:pt idx="0">
                  <c:v>-17.11521319494458</c:v>
                </c:pt>
                <c:pt idx="1">
                  <c:v>-17.106003690272466</c:v>
                </c:pt>
                <c:pt idx="2">
                  <c:v>-17.106003690272466</c:v>
                </c:pt>
                <c:pt idx="3">
                  <c:v>-17.106003690272466</c:v>
                </c:pt>
                <c:pt idx="4">
                  <c:v>8.1344544506826999</c:v>
                </c:pt>
                <c:pt idx="5">
                  <c:v>2.575472257024396</c:v>
                </c:pt>
                <c:pt idx="6">
                  <c:v>0.97116213715132704</c:v>
                </c:pt>
                <c:pt idx="7">
                  <c:v>1.5502653832948876</c:v>
                </c:pt>
                <c:pt idx="8">
                  <c:v>-0.90879082492499086</c:v>
                </c:pt>
                <c:pt idx="9">
                  <c:v>0.33558484393459459</c:v>
                </c:pt>
                <c:pt idx="10">
                  <c:v>3.5912158492117729</c:v>
                </c:pt>
                <c:pt idx="11">
                  <c:v>2.1808154054650783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F0-1E4B-B7C9-04199D759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Strategy–Battery Scenario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Elasticity </a:t>
                </a:r>
                <a:r>
                  <a:rPr lang="el-GR"/>
                  <a:t>ε (-)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"/>
    </sheetView>
  </sheetViews>
  <sheetFormatPr baseColWidth="10" defaultColWidth="8.83203125" defaultRowHeight="14"/>
  <cols>
    <col min="1" max="1" width="24" customWidth="1"/>
    <col min="2" max="2" width="58" customWidth="1"/>
    <col min="3" max="3" width="16" customWidth="1"/>
    <col min="4" max="4" width="32" customWidth="1"/>
    <col min="5" max="5" width="58" customWidth="1"/>
    <col min="6" max="6" width="46" customWidth="1"/>
  </cols>
  <sheetData>
    <row r="1" spans="1:6" ht="18">
      <c r="A1" s="9" t="s">
        <v>0</v>
      </c>
      <c r="B1" s="9"/>
      <c r="C1" s="9"/>
      <c r="D1" s="9"/>
      <c r="E1" s="9"/>
      <c r="F1" s="9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30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15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30">
      <c r="A7" s="2" t="s">
        <v>25</v>
      </c>
      <c r="B7" s="2" t="s">
        <v>26</v>
      </c>
      <c r="C7" s="2" t="s">
        <v>21</v>
      </c>
      <c r="D7" s="2" t="s">
        <v>27</v>
      </c>
      <c r="E7" s="2" t="s">
        <v>28</v>
      </c>
      <c r="F7" s="2" t="s">
        <v>29</v>
      </c>
    </row>
    <row r="8" spans="1:6" ht="30">
      <c r="A8" s="2" t="s">
        <v>30</v>
      </c>
      <c r="B8" s="2" t="s">
        <v>31</v>
      </c>
      <c r="C8" s="2" t="s">
        <v>21</v>
      </c>
      <c r="D8" s="2" t="s">
        <v>32</v>
      </c>
      <c r="E8" s="2" t="s">
        <v>33</v>
      </c>
      <c r="F8" s="2" t="s">
        <v>34</v>
      </c>
    </row>
    <row r="9" spans="1:6" ht="30">
      <c r="A9" s="2" t="s">
        <v>35</v>
      </c>
      <c r="B9" s="2" t="s">
        <v>36</v>
      </c>
      <c r="C9" s="2" t="s">
        <v>15</v>
      </c>
      <c r="D9" s="2" t="s">
        <v>37</v>
      </c>
      <c r="E9" s="2" t="s">
        <v>38</v>
      </c>
      <c r="F9" s="2" t="s">
        <v>39</v>
      </c>
    </row>
    <row r="10" spans="1:6" ht="1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>
      <selection sqref="A1:Z1"/>
    </sheetView>
  </sheetViews>
  <sheetFormatPr baseColWidth="10" defaultColWidth="8.83203125" defaultRowHeight="14"/>
  <cols>
    <col min="1" max="1" width="12" customWidth="1"/>
    <col min="2" max="25" width="18" customWidth="1"/>
  </cols>
  <sheetData>
    <row r="1" spans="1:26" ht="18">
      <c r="A1" s="9" t="s">
        <v>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  <c r="X3" s="1" t="s">
        <v>69</v>
      </c>
      <c r="Y3" s="1" t="s">
        <v>70</v>
      </c>
      <c r="Z3" s="5"/>
    </row>
    <row r="4" spans="1:26">
      <c r="A4" s="5" t="s">
        <v>71</v>
      </c>
      <c r="B4" s="6">
        <v>149.72681037338452</v>
      </c>
      <c r="C4" s="7">
        <v>0.12663697396528301</v>
      </c>
      <c r="D4" s="6">
        <v>147.22353488372093</v>
      </c>
      <c r="E4" s="7">
        <v>0.12618135983819576</v>
      </c>
      <c r="F4" s="6">
        <v>147.22353488372093</v>
      </c>
      <c r="G4" s="7">
        <v>0.12618135983819576</v>
      </c>
      <c r="H4" s="6">
        <v>147.22353488372093</v>
      </c>
      <c r="I4" s="7">
        <v>0.12618135983819576</v>
      </c>
      <c r="J4" s="6">
        <v>196.84054677626199</v>
      </c>
      <c r="K4" s="7">
        <v>0.13358585223065875</v>
      </c>
      <c r="L4" s="6">
        <v>191.89870047355473</v>
      </c>
      <c r="M4" s="7">
        <v>0.13160771201916915</v>
      </c>
      <c r="N4" s="6">
        <v>186.12956922452713</v>
      </c>
      <c r="O4" s="7">
        <v>0.13074562872658455</v>
      </c>
      <c r="P4" s="6">
        <v>183.07772218407055</v>
      </c>
      <c r="Q4" s="7">
        <v>0.13058735393555182</v>
      </c>
      <c r="R4" s="6">
        <v>139.32750098245924</v>
      </c>
      <c r="S4" s="7">
        <v>0.12376443396014698</v>
      </c>
      <c r="T4" s="6">
        <v>133.72182491479808</v>
      </c>
      <c r="U4" s="7">
        <v>0.1229699041565273</v>
      </c>
      <c r="V4" s="6">
        <v>131.41044948618017</v>
      </c>
      <c r="W4" s="7">
        <v>0.12274596517489031</v>
      </c>
      <c r="X4" s="6">
        <v>127.77873217732875</v>
      </c>
      <c r="Y4" s="7">
        <v>0.12224322411218745</v>
      </c>
      <c r="Z4" s="5"/>
    </row>
    <row r="5" spans="1:26">
      <c r="A5" s="5" t="s">
        <v>72</v>
      </c>
      <c r="B5" s="6">
        <v>146.86995348837209</v>
      </c>
      <c r="C5" s="7">
        <v>0.15172385944661057</v>
      </c>
      <c r="D5" s="6">
        <v>146.86995348837209</v>
      </c>
      <c r="E5" s="7">
        <v>0.15172385944661057</v>
      </c>
      <c r="F5" s="6">
        <v>146.86995348837209</v>
      </c>
      <c r="G5" s="7">
        <v>0.15172385944661057</v>
      </c>
      <c r="H5" s="6">
        <v>146.86995348837209</v>
      </c>
      <c r="I5" s="7">
        <v>0.15172385944661057</v>
      </c>
      <c r="J5" s="6">
        <v>172.06702325581395</v>
      </c>
      <c r="K5" s="7">
        <v>0.15361397977694466</v>
      </c>
      <c r="L5" s="6">
        <v>168.77346964840515</v>
      </c>
      <c r="M5" s="7">
        <v>0.1529168994846406</v>
      </c>
      <c r="N5" s="6">
        <v>164.85711627906974</v>
      </c>
      <c r="O5" s="7">
        <v>0.15235102950038765</v>
      </c>
      <c r="P5" s="6">
        <v>163.12205152668571</v>
      </c>
      <c r="Q5" s="7">
        <v>0.15236754658133431</v>
      </c>
      <c r="R5" s="6">
        <v>117.21194850836673</v>
      </c>
      <c r="S5" s="7">
        <v>0.14357418464818777</v>
      </c>
      <c r="T5" s="6">
        <v>110.81588319998231</v>
      </c>
      <c r="U5" s="7">
        <v>0.141554202003362</v>
      </c>
      <c r="V5" s="6">
        <v>108.79939229223801</v>
      </c>
      <c r="W5" s="7">
        <v>0.14045631493649399</v>
      </c>
      <c r="X5" s="6">
        <v>103.87381395348837</v>
      </c>
      <c r="Y5" s="7">
        <v>0.1394999898982979</v>
      </c>
      <c r="Z5" s="5"/>
    </row>
    <row r="6" spans="1:26">
      <c r="A6" s="5" t="s">
        <v>73</v>
      </c>
      <c r="B6" s="6">
        <v>133.75820930232558</v>
      </c>
      <c r="C6" s="7">
        <v>0.11094468865288512</v>
      </c>
      <c r="D6" s="6">
        <v>133.75820930232558</v>
      </c>
      <c r="E6" s="7">
        <v>0.11094468865288512</v>
      </c>
      <c r="F6" s="6">
        <v>133.75820930232558</v>
      </c>
      <c r="G6" s="7">
        <v>0.11094468865288512</v>
      </c>
      <c r="H6" s="6">
        <v>133.75820930232558</v>
      </c>
      <c r="I6" s="7">
        <v>0.11094468865288512</v>
      </c>
      <c r="J6" s="6">
        <v>178.03503646427251</v>
      </c>
      <c r="K6" s="7">
        <v>0.11688059118685964</v>
      </c>
      <c r="L6" s="6">
        <v>170.2298023255814</v>
      </c>
      <c r="M6" s="7">
        <v>0.11528998964122573</v>
      </c>
      <c r="N6" s="6">
        <v>157.74135806430786</v>
      </c>
      <c r="O6" s="7">
        <v>0.11355280385766583</v>
      </c>
      <c r="P6" s="6">
        <v>153.89710947287509</v>
      </c>
      <c r="Q6" s="7">
        <v>0.11301810660240585</v>
      </c>
      <c r="R6" s="6">
        <v>118.41762553675422</v>
      </c>
      <c r="S6" s="7">
        <v>0.10547196631247061</v>
      </c>
      <c r="T6" s="6">
        <v>103.56781996607938</v>
      </c>
      <c r="U6" s="7">
        <v>0.10406251625541123</v>
      </c>
      <c r="V6" s="6">
        <v>96.216175882612887</v>
      </c>
      <c r="W6" s="7">
        <v>0.10356975894961352</v>
      </c>
      <c r="X6" s="6">
        <v>94.564934540108354</v>
      </c>
      <c r="Y6" s="7">
        <v>0.10306747973345354</v>
      </c>
      <c r="Z6" s="5"/>
    </row>
    <row r="7" spans="1:26">
      <c r="A7" s="5" t="s">
        <v>74</v>
      </c>
      <c r="B7" s="6">
        <v>114.72406325581395</v>
      </c>
      <c r="C7" s="7">
        <v>9.4764424673121433E-2</v>
      </c>
      <c r="D7" s="6">
        <v>114.72406325581395</v>
      </c>
      <c r="E7" s="7">
        <v>9.4764424673121433E-2</v>
      </c>
      <c r="F7" s="6">
        <v>114.72406325581395</v>
      </c>
      <c r="G7" s="7">
        <v>9.4764424673121433E-2</v>
      </c>
      <c r="H7" s="6">
        <v>114.72406325581395</v>
      </c>
      <c r="I7" s="7">
        <v>9.4764424673121433E-2</v>
      </c>
      <c r="J7" s="6">
        <v>153.99551158862806</v>
      </c>
      <c r="K7" s="7">
        <v>0.10121807163288067</v>
      </c>
      <c r="L7" s="6">
        <v>145.27395334531596</v>
      </c>
      <c r="M7" s="7">
        <v>9.9115023834311533E-2</v>
      </c>
      <c r="N7" s="6">
        <v>134.67395302325579</v>
      </c>
      <c r="O7" s="7">
        <v>9.8109144718127664E-2</v>
      </c>
      <c r="P7" s="6">
        <v>130.75788695041069</v>
      </c>
      <c r="Q7" s="7">
        <v>9.7319124109632379E-2</v>
      </c>
      <c r="R7" s="6">
        <v>105.40795700348986</v>
      </c>
      <c r="S7" s="7">
        <v>8.9769439532854947E-2</v>
      </c>
      <c r="T7" s="6">
        <v>88.573648968122669</v>
      </c>
      <c r="U7" s="7">
        <v>8.6673335116790345E-2</v>
      </c>
      <c r="V7" s="6">
        <v>79.171088282768096</v>
      </c>
      <c r="W7" s="7">
        <v>8.5457854710390774E-2</v>
      </c>
      <c r="X7" s="6">
        <v>75.50441073531249</v>
      </c>
      <c r="Y7" s="7">
        <v>8.4772589985153399E-2</v>
      </c>
      <c r="Z7" s="5"/>
    </row>
    <row r="8" spans="1:26">
      <c r="A8" s="5" t="s">
        <v>75</v>
      </c>
      <c r="B8" s="6">
        <v>108.71560465116279</v>
      </c>
      <c r="C8" s="7">
        <v>9.4547987437245587E-2</v>
      </c>
      <c r="D8" s="6">
        <v>108.71560465116279</v>
      </c>
      <c r="E8" s="7">
        <v>9.4547987437245587E-2</v>
      </c>
      <c r="F8" s="6">
        <v>108.71560465116279</v>
      </c>
      <c r="G8" s="7">
        <v>9.4547987437245587E-2</v>
      </c>
      <c r="H8" s="6">
        <v>108.71560465116279</v>
      </c>
      <c r="I8" s="7">
        <v>9.4547987437245587E-2</v>
      </c>
      <c r="J8" s="6">
        <v>132.95748992772894</v>
      </c>
      <c r="K8" s="7">
        <v>9.6766267443498491E-2</v>
      </c>
      <c r="L8" s="6">
        <v>128.67746791053401</v>
      </c>
      <c r="M8" s="7">
        <v>9.5974634757156327E-2</v>
      </c>
      <c r="N8" s="6">
        <v>122.42881395348837</v>
      </c>
      <c r="O8" s="7">
        <v>9.5518444369855932E-2</v>
      </c>
      <c r="P8" s="6">
        <v>119.19585669202908</v>
      </c>
      <c r="Q8" s="7">
        <v>9.5627735136440906E-2</v>
      </c>
      <c r="R8" s="6">
        <v>89.69703243677148</v>
      </c>
      <c r="S8" s="7">
        <v>8.6993545077760415E-2</v>
      </c>
      <c r="T8" s="6">
        <v>76.734395914194636</v>
      </c>
      <c r="U8" s="7">
        <v>8.5410119699613957E-2</v>
      </c>
      <c r="V8" s="6">
        <v>66.073508797879185</v>
      </c>
      <c r="W8" s="7">
        <v>8.3516649832819395E-2</v>
      </c>
      <c r="X8" s="6">
        <v>52.201477886482714</v>
      </c>
      <c r="Y8" s="7">
        <v>7.5954127196144583E-2</v>
      </c>
      <c r="Z8" s="5"/>
    </row>
    <row r="9" spans="1:26">
      <c r="A9" s="5" t="s">
        <v>76</v>
      </c>
      <c r="B9" s="6">
        <v>115.96637979044301</v>
      </c>
      <c r="C9" s="7">
        <v>9.214877790613922E-2</v>
      </c>
      <c r="D9" s="6">
        <v>115.96637979044301</v>
      </c>
      <c r="E9" s="7">
        <v>9.214877790613922E-2</v>
      </c>
      <c r="F9" s="6">
        <v>115.96637979044301</v>
      </c>
      <c r="G9" s="7">
        <v>9.214877790613922E-2</v>
      </c>
      <c r="H9" s="6">
        <v>115.96637979044301</v>
      </c>
      <c r="I9" s="7">
        <v>9.214877790613922E-2</v>
      </c>
      <c r="J9" s="6">
        <v>134.31252424852852</v>
      </c>
      <c r="K9" s="7">
        <v>9.6827768683502485E-2</v>
      </c>
      <c r="L9" s="6">
        <v>132.45388866690541</v>
      </c>
      <c r="M9" s="7">
        <v>9.6270116294166319E-2</v>
      </c>
      <c r="N9" s="6">
        <v>127.35804378295677</v>
      </c>
      <c r="O9" s="7">
        <v>9.493573465376462E-2</v>
      </c>
      <c r="P9" s="6">
        <v>123.27803347280333</v>
      </c>
      <c r="Q9" s="7">
        <v>9.3735573061337105E-2</v>
      </c>
      <c r="R9" s="6">
        <v>81.849885068955857</v>
      </c>
      <c r="S9" s="7">
        <v>8.7217267557905168E-2</v>
      </c>
      <c r="T9" s="6">
        <v>69.34098648357616</v>
      </c>
      <c r="U9" s="7">
        <v>8.5699220025754252E-2</v>
      </c>
      <c r="V9" s="6">
        <v>55.232624538158362</v>
      </c>
      <c r="W9" s="7">
        <v>8.2784184078264031E-2</v>
      </c>
      <c r="X9" s="6">
        <v>50.037900940361588</v>
      </c>
      <c r="Y9" s="7">
        <v>7.9520226725113663E-2</v>
      </c>
      <c r="Z9" s="5"/>
    </row>
    <row r="10" spans="1:26">
      <c r="A10" s="5" t="s">
        <v>77</v>
      </c>
      <c r="B10" s="6">
        <v>113.5588924762794</v>
      </c>
      <c r="C10" s="7">
        <v>0.10197308288955685</v>
      </c>
      <c r="D10" s="6">
        <v>113.5588924762794</v>
      </c>
      <c r="E10" s="7">
        <v>0.10197308288955685</v>
      </c>
      <c r="F10" s="6">
        <v>113.5588924762794</v>
      </c>
      <c r="G10" s="7">
        <v>0.10197308288955685</v>
      </c>
      <c r="H10" s="6">
        <v>113.5588924762794</v>
      </c>
      <c r="I10" s="7">
        <v>0.10197308288955685</v>
      </c>
      <c r="J10" s="6">
        <v>132.86414051000062</v>
      </c>
      <c r="K10" s="7">
        <v>0.10474778972933486</v>
      </c>
      <c r="L10" s="6">
        <v>132.34033999697735</v>
      </c>
      <c r="M10" s="7">
        <v>0.10462405450409369</v>
      </c>
      <c r="N10" s="6">
        <v>126.99075913162835</v>
      </c>
      <c r="O10" s="7">
        <v>0.10386494461537972</v>
      </c>
      <c r="P10" s="6">
        <v>123.38002166581438</v>
      </c>
      <c r="Q10" s="7">
        <v>0.10297332401541603</v>
      </c>
      <c r="R10" s="6">
        <v>73.268821018033321</v>
      </c>
      <c r="S10" s="7">
        <v>9.4169036667184375E-2</v>
      </c>
      <c r="T10" s="6">
        <v>59.542674355449854</v>
      </c>
      <c r="U10" s="7">
        <v>9.1966899708783037E-2</v>
      </c>
      <c r="V10" s="6">
        <v>52.807308208498213</v>
      </c>
      <c r="W10" s="7">
        <v>9.1295695764109452E-2</v>
      </c>
      <c r="X10" s="6">
        <v>51.192539168953317</v>
      </c>
      <c r="Y10" s="7">
        <v>9.1454203689390862E-2</v>
      </c>
      <c r="Z10" s="5"/>
    </row>
    <row r="11" spans="1:26">
      <c r="A11" s="5" t="s">
        <v>78</v>
      </c>
      <c r="B11" s="6">
        <v>111.56374381753093</v>
      </c>
      <c r="C11" s="7">
        <v>8.3864344420891593E-2</v>
      </c>
      <c r="D11" s="6">
        <v>111.56374381753093</v>
      </c>
      <c r="E11" s="7">
        <v>8.3864344420891593E-2</v>
      </c>
      <c r="F11" s="6">
        <v>111.56374381753093</v>
      </c>
      <c r="G11" s="7">
        <v>8.3864344420891593E-2</v>
      </c>
      <c r="H11" s="6">
        <v>111.56374381753093</v>
      </c>
      <c r="I11" s="7">
        <v>8.3864344420891593E-2</v>
      </c>
      <c r="J11" s="6">
        <v>138.21540255145234</v>
      </c>
      <c r="K11" s="7">
        <v>8.6511336448255857E-2</v>
      </c>
      <c r="L11" s="6">
        <v>136.65300420328745</v>
      </c>
      <c r="M11" s="7">
        <v>8.6355520934325983E-2</v>
      </c>
      <c r="N11" s="6">
        <v>130.20747429784319</v>
      </c>
      <c r="O11" s="7">
        <v>8.5792046066325511E-2</v>
      </c>
      <c r="P11" s="6">
        <v>126.47515708491791</v>
      </c>
      <c r="Q11" s="7">
        <v>8.5220077229496191E-2</v>
      </c>
      <c r="R11" s="6">
        <v>77.426182665692195</v>
      </c>
      <c r="S11" s="7">
        <v>7.646692609685482E-2</v>
      </c>
      <c r="T11" s="6">
        <v>61.657416633714163</v>
      </c>
      <c r="U11" s="7">
        <v>7.4040907654839033E-2</v>
      </c>
      <c r="V11" s="6">
        <v>48.121870827027472</v>
      </c>
      <c r="W11" s="7">
        <v>7.169970010761495E-2</v>
      </c>
      <c r="X11" s="6">
        <v>40.412629222616026</v>
      </c>
      <c r="Y11" s="7">
        <v>7.088992509637293E-2</v>
      </c>
      <c r="Z11" s="5"/>
    </row>
    <row r="12" spans="1:26">
      <c r="A12" s="5" t="s">
        <v>79</v>
      </c>
      <c r="B12" s="6">
        <v>152.72742438703236</v>
      </c>
      <c r="C12" s="7">
        <v>9.7608897086645011E-2</v>
      </c>
      <c r="D12" s="6">
        <v>152.72742438703236</v>
      </c>
      <c r="E12" s="7">
        <v>9.7608897086645011E-2</v>
      </c>
      <c r="F12" s="6">
        <v>152.72742438703236</v>
      </c>
      <c r="G12" s="7">
        <v>9.7608897086645011E-2</v>
      </c>
      <c r="H12" s="6">
        <v>152.72742438703236</v>
      </c>
      <c r="I12" s="7">
        <v>9.7608897086645011E-2</v>
      </c>
      <c r="J12" s="6">
        <v>163.85416308675227</v>
      </c>
      <c r="K12" s="7">
        <v>9.9835738994698484E-2</v>
      </c>
      <c r="L12" s="6">
        <v>162.85614147683629</v>
      </c>
      <c r="M12" s="7">
        <v>9.9527258107913602E-2</v>
      </c>
      <c r="N12" s="6">
        <v>159.38363682386546</v>
      </c>
      <c r="O12" s="7">
        <v>9.8992563077098042E-2</v>
      </c>
      <c r="P12" s="6">
        <v>157.02067910372054</v>
      </c>
      <c r="Q12" s="7">
        <v>9.862251833274252E-2</v>
      </c>
      <c r="R12" s="6">
        <v>102.3410361963775</v>
      </c>
      <c r="S12" s="7">
        <v>8.3214345359984093E-2</v>
      </c>
      <c r="T12" s="6">
        <v>89.552407905543561</v>
      </c>
      <c r="U12" s="7">
        <v>8.1434811527743969E-2</v>
      </c>
      <c r="V12" s="6">
        <v>83.76170496513997</v>
      </c>
      <c r="W12" s="7">
        <v>8.0817436194800446E-2</v>
      </c>
      <c r="X12" s="6">
        <v>83.442875691886513</v>
      </c>
      <c r="Y12" s="7">
        <v>8.0261216979872513E-2</v>
      </c>
      <c r="Z12" s="5"/>
    </row>
    <row r="13" spans="1:26">
      <c r="A13" s="5" t="s">
        <v>80</v>
      </c>
      <c r="B13" s="6">
        <v>130.94103327198303</v>
      </c>
      <c r="C13" s="7">
        <v>0.11195303072507291</v>
      </c>
      <c r="D13" s="6">
        <v>130.94103327198303</v>
      </c>
      <c r="E13" s="7">
        <v>0.11195303072507291</v>
      </c>
      <c r="F13" s="6">
        <v>130.94103327198303</v>
      </c>
      <c r="G13" s="7">
        <v>0.11195303072507291</v>
      </c>
      <c r="H13" s="6">
        <v>130.94103327198303</v>
      </c>
      <c r="I13" s="7">
        <v>0.11195303072507291</v>
      </c>
      <c r="J13" s="6">
        <v>154.66746345721867</v>
      </c>
      <c r="K13" s="7">
        <v>0.11825802765494076</v>
      </c>
      <c r="L13" s="6">
        <v>145.82241045383302</v>
      </c>
      <c r="M13" s="7">
        <v>0.11525943320448775</v>
      </c>
      <c r="N13" s="6">
        <v>140.57092877961483</v>
      </c>
      <c r="O13" s="7">
        <v>0.11396399163343798</v>
      </c>
      <c r="P13" s="6">
        <v>138.86654801893962</v>
      </c>
      <c r="Q13" s="7">
        <v>0.1139419956275142</v>
      </c>
      <c r="R13" s="6">
        <v>93.421960826340452</v>
      </c>
      <c r="S13" s="7">
        <v>9.7181735793566759E-2</v>
      </c>
      <c r="T13" s="6">
        <v>80.986882881013514</v>
      </c>
      <c r="U13" s="7">
        <v>9.6481240403200122E-2</v>
      </c>
      <c r="V13" s="6">
        <v>78.679086388010177</v>
      </c>
      <c r="W13" s="7">
        <v>9.664929654985116E-2</v>
      </c>
      <c r="X13" s="6">
        <v>79.008510354528227</v>
      </c>
      <c r="Y13" s="7">
        <v>9.6224022211570545E-2</v>
      </c>
      <c r="Z13" s="5"/>
    </row>
    <row r="14" spans="1:26">
      <c r="A14" s="5" t="s">
        <v>81</v>
      </c>
      <c r="B14" s="6">
        <v>98.317588490307784</v>
      </c>
      <c r="C14" s="7">
        <v>0.10624491811983686</v>
      </c>
      <c r="D14" s="6">
        <v>98.317588490307784</v>
      </c>
      <c r="E14" s="7">
        <v>0.10624491811983686</v>
      </c>
      <c r="F14" s="6">
        <v>98.317588490307784</v>
      </c>
      <c r="G14" s="7">
        <v>0.10624491811983686</v>
      </c>
      <c r="H14" s="6">
        <v>98.317588490307784</v>
      </c>
      <c r="I14" s="7">
        <v>0.10624491811983686</v>
      </c>
      <c r="J14" s="6">
        <v>144.4478343488548</v>
      </c>
      <c r="K14" s="7">
        <v>0.11560506021201915</v>
      </c>
      <c r="L14" s="6">
        <v>135.65522809476309</v>
      </c>
      <c r="M14" s="7">
        <v>0.11183272338031554</v>
      </c>
      <c r="N14" s="6">
        <v>129.18666402888402</v>
      </c>
      <c r="O14" s="7">
        <v>0.10966403241370933</v>
      </c>
      <c r="P14" s="6">
        <v>127.93615520803073</v>
      </c>
      <c r="Q14" s="7">
        <v>0.10949063745412235</v>
      </c>
      <c r="R14" s="6">
        <v>91.701993294488474</v>
      </c>
      <c r="S14" s="7">
        <v>0.10087269804975255</v>
      </c>
      <c r="T14" s="6">
        <v>81.41462718276199</v>
      </c>
      <c r="U14" s="7">
        <v>9.9496109059619461E-2</v>
      </c>
      <c r="V14" s="6">
        <v>77.005583771639792</v>
      </c>
      <c r="W14" s="7">
        <v>9.8184123326898215E-2</v>
      </c>
      <c r="X14" s="6">
        <v>75.869623830716463</v>
      </c>
      <c r="Y14" s="7">
        <v>9.7918392980856708E-2</v>
      </c>
      <c r="Z14" s="5"/>
    </row>
    <row r="15" spans="1:26">
      <c r="A15" s="5" t="s">
        <v>82</v>
      </c>
      <c r="B15" s="6">
        <v>119.67745424093047</v>
      </c>
      <c r="C15" s="7">
        <v>0.1061389471230889</v>
      </c>
      <c r="D15" s="6">
        <v>119.67745424093047</v>
      </c>
      <c r="E15" s="7">
        <v>0.1061389471230889</v>
      </c>
      <c r="F15" s="6">
        <v>119.67745424093047</v>
      </c>
      <c r="G15" s="7">
        <v>0.1061389471230889</v>
      </c>
      <c r="H15" s="6">
        <v>119.67745424093047</v>
      </c>
      <c r="I15" s="7">
        <v>0.1061389471230889</v>
      </c>
      <c r="J15" s="6">
        <v>181.46726205710041</v>
      </c>
      <c r="K15" s="7">
        <v>0.11611017644741198</v>
      </c>
      <c r="L15" s="6">
        <v>176.65969650998699</v>
      </c>
      <c r="M15" s="7">
        <v>0.1147238298313345</v>
      </c>
      <c r="N15" s="6">
        <v>172.73805243357569</v>
      </c>
      <c r="O15" s="7">
        <v>0.11390563066926475</v>
      </c>
      <c r="P15" s="6">
        <v>170.59243031992901</v>
      </c>
      <c r="Q15" s="7">
        <v>0.11353706041681751</v>
      </c>
      <c r="R15" s="6">
        <v>137.04446766379868</v>
      </c>
      <c r="S15" s="7">
        <v>0.10635855007911675</v>
      </c>
      <c r="T15" s="6">
        <v>128.64529597489309</v>
      </c>
      <c r="U15" s="7">
        <v>0.10495131243735593</v>
      </c>
      <c r="V15" s="6">
        <v>120.5806907891251</v>
      </c>
      <c r="W15" s="7">
        <v>0.1035581230913805</v>
      </c>
      <c r="X15" s="6">
        <v>110.92557563586389</v>
      </c>
      <c r="Y15" s="7">
        <v>0.10222611458629516</v>
      </c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1">
    <mergeCell ref="A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>
      <selection sqref="A1:M1"/>
    </sheetView>
  </sheetViews>
  <sheetFormatPr baseColWidth="10" defaultColWidth="8.83203125" defaultRowHeight="14"/>
  <cols>
    <col min="1" max="1" width="12" customWidth="1"/>
    <col min="2" max="13" width="16" customWidth="1"/>
  </cols>
  <sheetData>
    <row r="1" spans="1:26" ht="18">
      <c r="A1" s="9" t="s">
        <v>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1" t="s">
        <v>46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  <c r="L3" s="1" t="s">
        <v>94</v>
      </c>
      <c r="M3" s="1" t="s">
        <v>95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71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72</v>
      </c>
      <c r="B5" s="8">
        <f>IFERROR(((Monthly_Aggregates!B5-Monthly_Aggregates!B4)/Monthly_Aggregates!B4)/((Monthly_Aggregates!C5-Monthly_Aggregates!C4)/Monthly_Aggregates!C4),"")</f>
        <v>-9.6316942752074267E-2</v>
      </c>
      <c r="C5" s="8">
        <f>IFERROR(((Monthly_Aggregates!D5-Monthly_Aggregates!D4)/Monthly_Aggregates!D4)/((Monthly_Aggregates!E5-Monthly_Aggregates!E4)/Monthly_Aggregates!E4),"")</f>
        <v>-1.1864350610667748E-2</v>
      </c>
      <c r="D5" s="8">
        <f>IFERROR(((Monthly_Aggregates!F5-Monthly_Aggregates!F4)/Monthly_Aggregates!F4)/((Monthly_Aggregates!G5-Monthly_Aggregates!G4)/Monthly_Aggregates!G4),"")</f>
        <v>-1.1864350610667748E-2</v>
      </c>
      <c r="E5" s="8">
        <f>IFERROR(((Monthly_Aggregates!H5-Monthly_Aggregates!H4)/Monthly_Aggregates!H4)/((Monthly_Aggregates!I5-Monthly_Aggregates!I4)/Monthly_Aggregates!I4),"")</f>
        <v>-1.1864350610667748E-2</v>
      </c>
      <c r="F5" s="8">
        <f>IFERROR(((Monthly_Aggregates!J5-Monthly_Aggregates!J4)/Monthly_Aggregates!J4)/((Monthly_Aggregates!K5-Monthly_Aggregates!K4)/Monthly_Aggregates!K4),"")</f>
        <v>-0.83944710290019453</v>
      </c>
      <c r="G5" s="8">
        <f>IFERROR(((Monthly_Aggregates!L5-Monthly_Aggregates!L4)/Monthly_Aggregates!L4)/((Monthly_Aggregates!M5-Monthly_Aggregates!M4)/Monthly_Aggregates!M4),"")</f>
        <v>-0.74426653443131507</v>
      </c>
      <c r="H5" s="8">
        <f>IFERROR(((Monthly_Aggregates!N5-Monthly_Aggregates!N4)/Monthly_Aggregates!N4)/((Monthly_Aggregates!O5-Monthly_Aggregates!O4)/Monthly_Aggregates!O4),"")</f>
        <v>-0.69161921486451228</v>
      </c>
      <c r="I5" s="8">
        <f>IFERROR(((Monthly_Aggregates!P5-Monthly_Aggregates!P4)/Monthly_Aggregates!P4)/((Monthly_Aggregates!Q5-Monthly_Aggregates!Q4)/Monthly_Aggregates!Q4),"")</f>
        <v>-0.65353707892900237</v>
      </c>
      <c r="J5" s="8">
        <f>IFERROR(((Monthly_Aggregates!R5-Monthly_Aggregates!R4)/Monthly_Aggregates!R4)/((Monthly_Aggregates!S5-Monthly_Aggregates!S4)/Monthly_Aggregates!S4),"")</f>
        <v>-0.9916942510341995</v>
      </c>
      <c r="K5" s="8">
        <f>IFERROR(((Monthly_Aggregates!T5-Monthly_Aggregates!T4)/Monthly_Aggregates!T4)/((Monthly_Aggregates!U5-Monthly_Aggregates!U4)/Monthly_Aggregates!U4),"")</f>
        <v>-1.1334399964876576</v>
      </c>
      <c r="L5" s="8">
        <f>IFERROR(((Monthly_Aggregates!V5-Monthly_Aggregates!V4)/Monthly_Aggregates!V4)/((Monthly_Aggregates!W5-Monthly_Aggregates!W4)/Monthly_Aggregates!W4),"")</f>
        <v>-1.1925347821163763</v>
      </c>
      <c r="M5" s="8">
        <f>IFERROR(((Monthly_Aggregates!X5-Monthly_Aggregates!X4)/Monthly_Aggregates!X4)/((Monthly_Aggregates!Y5-Monthly_Aggregates!Y4)/Monthly_Aggregates!Y4),"")</f>
        <v>-1.3252386047119773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73</v>
      </c>
      <c r="B6" s="8">
        <f>IFERROR(((Monthly_Aggregates!B6-Monthly_Aggregates!B5)/Monthly_Aggregates!B5)/((Monthly_Aggregates!C6-Monthly_Aggregates!C5)/Monthly_Aggregates!C5),"")</f>
        <v>0.33215668767334455</v>
      </c>
      <c r="C6" s="8">
        <f>IFERROR(((Monthly_Aggregates!D6-Monthly_Aggregates!D5)/Monthly_Aggregates!D5)/((Monthly_Aggregates!E6-Monthly_Aggregates!E5)/Monthly_Aggregates!E5),"")</f>
        <v>0.33215668767334455</v>
      </c>
      <c r="D6" s="8">
        <f>IFERROR(((Monthly_Aggregates!F6-Monthly_Aggregates!F5)/Monthly_Aggregates!F5)/((Monthly_Aggregates!G6-Monthly_Aggregates!G5)/Monthly_Aggregates!G5),"")</f>
        <v>0.33215668767334455</v>
      </c>
      <c r="E6" s="8">
        <f>IFERROR(((Monthly_Aggregates!H6-Monthly_Aggregates!H5)/Monthly_Aggregates!H5)/((Monthly_Aggregates!I6-Monthly_Aggregates!I5)/Monthly_Aggregates!I5),"")</f>
        <v>0.33215668767334455</v>
      </c>
      <c r="F6" s="8">
        <f>IFERROR(((Monthly_Aggregates!J6-Monthly_Aggregates!J5)/Monthly_Aggregates!J5)/((Monthly_Aggregates!K6-Monthly_Aggregates!K5)/Monthly_Aggregates!K5),"")</f>
        <v>-0.14504470460423785</v>
      </c>
      <c r="G6" s="8">
        <f>IFERROR(((Monthly_Aggregates!L6-Monthly_Aggregates!L5)/Monthly_Aggregates!L5)/((Monthly_Aggregates!M6-Monthly_Aggregates!M5)/Monthly_Aggregates!M5),"")</f>
        <v>-3.5068189648219943E-2</v>
      </c>
      <c r="H6" s="8">
        <f>IFERROR(((Monthly_Aggregates!N6-Monthly_Aggregates!N5)/Monthly_Aggregates!N5)/((Monthly_Aggregates!O6-Monthly_Aggregates!O5)/Monthly_Aggregates!O5),"")</f>
        <v>0.16949114471340915</v>
      </c>
      <c r="I6" s="8">
        <f>IFERROR(((Monthly_Aggregates!P6-Monthly_Aggregates!P5)/Monthly_Aggregates!P5)/((Monthly_Aggregates!Q6-Monthly_Aggregates!Q5)/Monthly_Aggregates!Q5),"")</f>
        <v>0.21898022154178082</v>
      </c>
      <c r="J6" s="8">
        <f>IFERROR(((Monthly_Aggregates!R6-Monthly_Aggregates!R5)/Monthly_Aggregates!R5)/((Monthly_Aggregates!S6-Monthly_Aggregates!S5)/Monthly_Aggregates!S5),"")</f>
        <v>-3.87601276007499E-2</v>
      </c>
      <c r="K6" s="8">
        <f>IFERROR(((Monthly_Aggregates!T6-Monthly_Aggregates!T5)/Monthly_Aggregates!T5)/((Monthly_Aggregates!U6-Monthly_Aggregates!U5)/Monthly_Aggregates!U5),"")</f>
        <v>0.24694927706994066</v>
      </c>
      <c r="L6" s="8">
        <f>IFERROR(((Monthly_Aggregates!V6-Monthly_Aggregates!V5)/Monthly_Aggregates!V5)/((Monthly_Aggregates!W6-Monthly_Aggregates!W5)/Monthly_Aggregates!W5),"")</f>
        <v>0.44039092202117491</v>
      </c>
      <c r="M6" s="8">
        <f>IFERROR(((Monthly_Aggregates!X6-Monthly_Aggregates!X5)/Monthly_Aggregates!X5)/((Monthly_Aggregates!Y6-Monthly_Aggregates!Y5)/Monthly_Aggregates!Y5),"")</f>
        <v>0.34314399878256491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74</v>
      </c>
      <c r="B7" s="8">
        <f>IFERROR(((Monthly_Aggregates!B7-Monthly_Aggregates!B6)/Monthly_Aggregates!B6)/((Monthly_Aggregates!C7-Monthly_Aggregates!C6)/Monthly_Aggregates!C6),"")</f>
        <v>0.97573944988174854</v>
      </c>
      <c r="C7" s="8">
        <f>IFERROR(((Monthly_Aggregates!D7-Monthly_Aggregates!D6)/Monthly_Aggregates!D6)/((Monthly_Aggregates!E7-Monthly_Aggregates!E6)/Monthly_Aggregates!E6),"")</f>
        <v>0.97573944988174854</v>
      </c>
      <c r="D7" s="8">
        <f>IFERROR(((Monthly_Aggregates!F7-Monthly_Aggregates!F6)/Monthly_Aggregates!F6)/((Monthly_Aggregates!G7-Monthly_Aggregates!G6)/Monthly_Aggregates!G6),"")</f>
        <v>0.97573944988174854</v>
      </c>
      <c r="E7" s="8">
        <f>IFERROR(((Monthly_Aggregates!H7-Monthly_Aggregates!H6)/Monthly_Aggregates!H6)/((Monthly_Aggregates!I7-Monthly_Aggregates!I6)/Monthly_Aggregates!I6),"")</f>
        <v>0.97573944988174854</v>
      </c>
      <c r="F7" s="8">
        <f>IFERROR(((Monthly_Aggregates!J7-Monthly_Aggregates!J6)/Monthly_Aggregates!J6)/((Monthly_Aggregates!K7-Monthly_Aggregates!K6)/Monthly_Aggregates!K6),"")</f>
        <v>1.0076302001310802</v>
      </c>
      <c r="G7" s="8">
        <f>IFERROR(((Monthly_Aggregates!L7-Monthly_Aggregates!L6)/Monthly_Aggregates!L6)/((Monthly_Aggregates!M7-Monthly_Aggregates!M6)/Monthly_Aggregates!M6),"")</f>
        <v>1.0449246704671662</v>
      </c>
      <c r="H7" s="8">
        <f>IFERROR(((Monthly_Aggregates!N7-Monthly_Aggregates!N6)/Monthly_Aggregates!N6)/((Monthly_Aggregates!O7-Monthly_Aggregates!O6)/Monthly_Aggregates!O6),"")</f>
        <v>1.0752286320989972</v>
      </c>
      <c r="I7" s="8">
        <f>IFERROR(((Monthly_Aggregates!P7-Monthly_Aggregates!P6)/Monthly_Aggregates!P6)/((Monthly_Aggregates!Q7-Monthly_Aggregates!Q6)/Monthly_Aggregates!Q6),"")</f>
        <v>1.0824175415960855</v>
      </c>
      <c r="J7" s="8">
        <f>IFERROR(((Monthly_Aggregates!R7-Monthly_Aggregates!R6)/Monthly_Aggregates!R6)/((Monthly_Aggregates!S7-Monthly_Aggregates!S6)/Monthly_Aggregates!S6),"")</f>
        <v>0.73793376577861247</v>
      </c>
      <c r="K7" s="8">
        <f>IFERROR(((Monthly_Aggregates!T7-Monthly_Aggregates!T6)/Monthly_Aggregates!T6)/((Monthly_Aggregates!U7-Monthly_Aggregates!U6)/Monthly_Aggregates!U6),"")</f>
        <v>0.86638877364057354</v>
      </c>
      <c r="L7" s="8">
        <f>IFERROR(((Monthly_Aggregates!V7-Monthly_Aggregates!V6)/Monthly_Aggregates!V6)/((Monthly_Aggregates!W7-Monthly_Aggregates!W6)/Monthly_Aggregates!W6),"")</f>
        <v>1.0130246141278374</v>
      </c>
      <c r="M7" s="8">
        <f>IFERROR(((Monthly_Aggregates!X7-Monthly_Aggregates!X6)/Monthly_Aggregates!X6)/((Monthly_Aggregates!Y7-Monthly_Aggregates!Y6)/Monthly_Aggregates!Y6),"")</f>
        <v>1.135524646625873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75</v>
      </c>
      <c r="B8" s="8">
        <f>IFERROR(((Monthly_Aggregates!B8-Monthly_Aggregates!B7)/Monthly_Aggregates!B7)/((Monthly_Aggregates!C8-Monthly_Aggregates!C7)/Monthly_Aggregates!C7),"")</f>
        <v>22.930942458540031</v>
      </c>
      <c r="C8" s="8">
        <f>IFERROR(((Monthly_Aggregates!D8-Monthly_Aggregates!D7)/Monthly_Aggregates!D7)/((Monthly_Aggregates!E8-Monthly_Aggregates!E7)/Monthly_Aggregates!E7),"")</f>
        <v>22.930942458540031</v>
      </c>
      <c r="D8" s="8">
        <f>IFERROR(((Monthly_Aggregates!F8-Monthly_Aggregates!F7)/Monthly_Aggregates!F7)/((Monthly_Aggregates!G8-Monthly_Aggregates!G7)/Monthly_Aggregates!G7),"")</f>
        <v>22.930942458540031</v>
      </c>
      <c r="E8" s="8">
        <f>IFERROR(((Monthly_Aggregates!H8-Monthly_Aggregates!H7)/Monthly_Aggregates!H7)/((Monthly_Aggregates!I8-Monthly_Aggregates!I7)/Monthly_Aggregates!I7),"")</f>
        <v>22.930942458540031</v>
      </c>
      <c r="F8" s="8">
        <f>IFERROR(((Monthly_Aggregates!J8-Monthly_Aggregates!J7)/Monthly_Aggregates!J7)/((Monthly_Aggregates!K8-Monthly_Aggregates!K7)/Monthly_Aggregates!K7),"")</f>
        <v>3.1061243644586933</v>
      </c>
      <c r="G8" s="8">
        <f>IFERROR(((Monthly_Aggregates!L8-Monthly_Aggregates!L7)/Monthly_Aggregates!L7)/((Monthly_Aggregates!M8-Monthly_Aggregates!M7)/Monthly_Aggregates!M7),"")</f>
        <v>3.6056569577969237</v>
      </c>
      <c r="H8" s="8">
        <f>IFERROR(((Monthly_Aggregates!N8-Monthly_Aggregates!N7)/Monthly_Aggregates!N7)/((Monthly_Aggregates!O8-Monthly_Aggregates!O7)/Monthly_Aggregates!O7),"")</f>
        <v>3.4432806347861562</v>
      </c>
      <c r="I8" s="8">
        <f>IFERROR(((Monthly_Aggregates!P8-Monthly_Aggregates!P7)/Monthly_Aggregates!P7)/((Monthly_Aggregates!Q8-Monthly_Aggregates!Q7)/Monthly_Aggregates!Q7),"")</f>
        <v>5.0876930831099978</v>
      </c>
      <c r="J8" s="8">
        <f>IFERROR(((Monthly_Aggregates!R8-Monthly_Aggregates!R7)/Monthly_Aggregates!R7)/((Monthly_Aggregates!S8-Monthly_Aggregates!S7)/Monthly_Aggregates!S7),"")</f>
        <v>4.820076286245734</v>
      </c>
      <c r="K8" s="8">
        <f>IFERROR(((Monthly_Aggregates!T8-Monthly_Aggregates!T7)/Monthly_Aggregates!T7)/((Monthly_Aggregates!U8-Monthly_Aggregates!U7)/Monthly_Aggregates!U7),"")</f>
        <v>9.1712357514999994</v>
      </c>
      <c r="L8" s="8">
        <f>IFERROR(((Monthly_Aggregates!V8-Monthly_Aggregates!V7)/Monthly_Aggregates!V7)/((Monthly_Aggregates!W8-Monthly_Aggregates!W7)/Monthly_Aggregates!W7),"")</f>
        <v>7.282911631234696</v>
      </c>
      <c r="M8" s="8">
        <f>IFERROR(((Monthly_Aggregates!X8-Monthly_Aggregates!X7)/Monthly_Aggregates!X7)/((Monthly_Aggregates!Y8-Monthly_Aggregates!Y7)/Monthly_Aggregates!Y7),"")</f>
        <v>2.9668857761694682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76</v>
      </c>
      <c r="B9" s="8">
        <f>IFERROR(((Monthly_Aggregates!B9-Monthly_Aggregates!B8)/Monthly_Aggregates!B8)/((Monthly_Aggregates!C9-Monthly_Aggregates!C8)/Monthly_Aggregates!C8),"")</f>
        <v>-2.6283104522449654</v>
      </c>
      <c r="C9" s="8">
        <f>IFERROR(((Monthly_Aggregates!D9-Monthly_Aggregates!D8)/Monthly_Aggregates!D8)/((Monthly_Aggregates!E9-Monthly_Aggregates!E8)/Monthly_Aggregates!E8),"")</f>
        <v>-2.6283104522449654</v>
      </c>
      <c r="D9" s="8">
        <f>IFERROR(((Monthly_Aggregates!F9-Monthly_Aggregates!F8)/Monthly_Aggregates!F8)/((Monthly_Aggregates!G9-Monthly_Aggregates!G8)/Monthly_Aggregates!G8),"")</f>
        <v>-2.6283104522449654</v>
      </c>
      <c r="E9" s="8">
        <f>IFERROR(((Monthly_Aggregates!H9-Monthly_Aggregates!H8)/Monthly_Aggregates!H8)/((Monthly_Aggregates!I9-Monthly_Aggregates!I8)/Monthly_Aggregates!I8),"")</f>
        <v>-2.6283104522449654</v>
      </c>
      <c r="F9" s="8">
        <f>IFERROR(((Monthly_Aggregates!J9-Monthly_Aggregates!J8)/Monthly_Aggregates!J8)/((Monthly_Aggregates!K9-Monthly_Aggregates!K8)/Monthly_Aggregates!K8),"")</f>
        <v>16.035319031927919</v>
      </c>
      <c r="G9" s="8">
        <f>IFERROR(((Monthly_Aggregates!L9-Monthly_Aggregates!L8)/Monthly_Aggregates!L8)/((Monthly_Aggregates!M9-Monthly_Aggregates!M8)/Monthly_Aggregates!M8),"")</f>
        <v>9.532437977528188</v>
      </c>
      <c r="H9" s="8">
        <f>IFERROR(((Monthly_Aggregates!N9-Monthly_Aggregates!N8)/Monthly_Aggregates!N8)/((Monthly_Aggregates!O9-Monthly_Aggregates!O8)/Monthly_Aggregates!O8),"")</f>
        <v>-6.5997944094929144</v>
      </c>
      <c r="I9" s="8">
        <f>IFERROR(((Monthly_Aggregates!P9-Monthly_Aggregates!P8)/Monthly_Aggregates!P8)/((Monthly_Aggregates!Q9-Monthly_Aggregates!Q8)/Monthly_Aggregates!Q8),"")</f>
        <v>-1.7308370583444628</v>
      </c>
      <c r="J9" s="8">
        <f>IFERROR(((Monthly_Aggregates!R9-Monthly_Aggregates!R8)/Monthly_Aggregates!R8)/((Monthly_Aggregates!S9-Monthly_Aggregates!S8)/Monthly_Aggregates!S8),"")</f>
        <v>-34.018184924408736</v>
      </c>
      <c r="K9" s="8">
        <f>IFERROR(((Monthly_Aggregates!T9-Monthly_Aggregates!T8)/Monthly_Aggregates!T8)/((Monthly_Aggregates!U9-Monthly_Aggregates!U8)/Monthly_Aggregates!U8),"")</f>
        <v>-28.46527786303756</v>
      </c>
      <c r="L9" s="8">
        <f>IFERROR(((Monthly_Aggregates!V9-Monthly_Aggregates!V8)/Monthly_Aggregates!V8)/((Monthly_Aggregates!W9-Monthly_Aggregates!W8)/Monthly_Aggregates!W8),"")</f>
        <v>18.707815474642384</v>
      </c>
      <c r="M9" s="8">
        <f>IFERROR(((Monthly_Aggregates!X9-Monthly_Aggregates!X8)/Monthly_Aggregates!X8)/((Monthly_Aggregates!Y9-Monthly_Aggregates!Y8)/Monthly_Aggregates!Y8),"")</f>
        <v>-0.88276979346401063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77</v>
      </c>
      <c r="B10" s="8">
        <f>IFERROR(((Monthly_Aggregates!B10-Monthly_Aggregates!B9)/Monthly_Aggregates!B9)/((Monthly_Aggregates!C10-Monthly_Aggregates!C9)/Monthly_Aggregates!C9),"")</f>
        <v>-0.19472407587993135</v>
      </c>
      <c r="C10" s="8">
        <f>IFERROR(((Monthly_Aggregates!D10-Monthly_Aggregates!D9)/Monthly_Aggregates!D9)/((Monthly_Aggregates!E10-Monthly_Aggregates!E9)/Monthly_Aggregates!E9),"")</f>
        <v>-0.19472407587993135</v>
      </c>
      <c r="D10" s="8">
        <f>IFERROR(((Monthly_Aggregates!F10-Monthly_Aggregates!F9)/Monthly_Aggregates!F9)/((Monthly_Aggregates!G10-Monthly_Aggregates!G9)/Monthly_Aggregates!G9),"")</f>
        <v>-0.19472407587993135</v>
      </c>
      <c r="E10" s="8">
        <f>IFERROR(((Monthly_Aggregates!H10-Monthly_Aggregates!H9)/Monthly_Aggregates!H9)/((Monthly_Aggregates!I10-Monthly_Aggregates!I9)/Monthly_Aggregates!I9),"")</f>
        <v>-0.19472407587993135</v>
      </c>
      <c r="F10" s="8">
        <f>IFERROR(((Monthly_Aggregates!J10-Monthly_Aggregates!J9)/Monthly_Aggregates!J9)/((Monthly_Aggregates!K10-Monthly_Aggregates!K9)/Monthly_Aggregates!K9),"")</f>
        <v>-0.13183803376791758</v>
      </c>
      <c r="G10" s="8">
        <f>IFERROR(((Monthly_Aggregates!L10-Monthly_Aggregates!L9)/Monthly_Aggregates!L9)/((Monthly_Aggregates!M10-Monthly_Aggregates!M9)/Monthly_Aggregates!M9),"")</f>
        <v>-9.8791044245133998E-3</v>
      </c>
      <c r="H10" s="8">
        <f>IFERROR(((Monthly_Aggregates!N10-Monthly_Aggregates!N9)/Monthly_Aggregates!N9)/((Monthly_Aggregates!O10-Monthly_Aggregates!O9)/Monthly_Aggregates!O9),"")</f>
        <v>-3.066147763199115E-2</v>
      </c>
      <c r="I10" s="8">
        <f>IFERROR(((Monthly_Aggregates!P10-Monthly_Aggregates!P9)/Monthly_Aggregates!P9)/((Monthly_Aggregates!Q10-Monthly_Aggregates!Q9)/Monthly_Aggregates!Q9),"")</f>
        <v>8.3946460319894393E-3</v>
      </c>
      <c r="J10" s="8">
        <f>IFERROR(((Monthly_Aggregates!R10-Monthly_Aggregates!R9)/Monthly_Aggregates!R9)/((Monthly_Aggregates!S10-Monthly_Aggregates!S9)/Monthly_Aggregates!S9),"")</f>
        <v>-1.3153163143052351</v>
      </c>
      <c r="K10" s="8">
        <f>IFERROR(((Monthly_Aggregates!T10-Monthly_Aggregates!T9)/Monthly_Aggregates!T9)/((Monthly_Aggregates!U10-Monthly_Aggregates!U9)/Monthly_Aggregates!U9),"")</f>
        <v>-1.9321076946283615</v>
      </c>
      <c r="L10" s="8">
        <f>IFERROR(((Monthly_Aggregates!V10-Monthly_Aggregates!V9)/Monthly_Aggregates!V9)/((Monthly_Aggregates!W10-Monthly_Aggregates!W9)/Monthly_Aggregates!W9),"")</f>
        <v>-0.42708408043355417</v>
      </c>
      <c r="M10" s="8">
        <f>IFERROR(((Monthly_Aggregates!X10-Monthly_Aggregates!X9)/Monthly_Aggregates!X9)/((Monthly_Aggregates!Y10-Monthly_Aggregates!Y9)/Monthly_Aggregates!Y9),"")</f>
        <v>0.15375854609292183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78</v>
      </c>
      <c r="B11" s="8">
        <f>IFERROR(((Monthly_Aggregates!B11-Monthly_Aggregates!B10)/Monthly_Aggregates!B10)/((Monthly_Aggregates!C11-Monthly_Aggregates!C10)/Monthly_Aggregates!C10),"")</f>
        <v>9.8935343275347726E-2</v>
      </c>
      <c r="C11" s="8">
        <f>IFERROR(((Monthly_Aggregates!D11-Monthly_Aggregates!D10)/Monthly_Aggregates!D10)/((Monthly_Aggregates!E11-Monthly_Aggregates!E10)/Monthly_Aggregates!E10),"")</f>
        <v>9.8935343275347726E-2</v>
      </c>
      <c r="D11" s="8">
        <f>IFERROR(((Monthly_Aggregates!F11-Monthly_Aggregates!F10)/Monthly_Aggregates!F10)/((Monthly_Aggregates!G11-Monthly_Aggregates!G10)/Monthly_Aggregates!G10),"")</f>
        <v>9.8935343275347726E-2</v>
      </c>
      <c r="E11" s="8">
        <f>IFERROR(((Monthly_Aggregates!H11-Monthly_Aggregates!H10)/Monthly_Aggregates!H10)/((Monthly_Aggregates!I11-Monthly_Aggregates!I10)/Monthly_Aggregates!I10),"")</f>
        <v>9.8935343275347726E-2</v>
      </c>
      <c r="F11" s="8">
        <f>IFERROR(((Monthly_Aggregates!J11-Monthly_Aggregates!J10)/Monthly_Aggregates!J10)/((Monthly_Aggregates!K11-Monthly_Aggregates!K10)/Monthly_Aggregates!K10),"")</f>
        <v>-0.23134116857208709</v>
      </c>
      <c r="G11" s="8">
        <f>IFERROR(((Monthly_Aggregates!L11-Monthly_Aggregates!L10)/Monthly_Aggregates!L10)/((Monthly_Aggregates!M11-Monthly_Aggregates!M10)/Monthly_Aggregates!M10),"")</f>
        <v>-0.18662991443580193</v>
      </c>
      <c r="H11" s="8">
        <f>IFERROR(((Monthly_Aggregates!N11-Monthly_Aggregates!N10)/Monthly_Aggregates!N10)/((Monthly_Aggregates!O11-Monthly_Aggregates!O10)/Monthly_Aggregates!O10),"")</f>
        <v>-0.14557328100959846</v>
      </c>
      <c r="I11" s="8">
        <f>IFERROR(((Monthly_Aggregates!P11-Monthly_Aggregates!P10)/Monthly_Aggregates!P10)/((Monthly_Aggregates!Q11-Monthly_Aggregates!Q10)/Monthly_Aggregates!Q10),"")</f>
        <v>-0.14550628575800464</v>
      </c>
      <c r="J11" s="8">
        <f>IFERROR(((Monthly_Aggregates!R11-Monthly_Aggregates!R10)/Monthly_Aggregates!R10)/((Monthly_Aggregates!S11-Monthly_Aggregates!S10)/Monthly_Aggregates!S10),"")</f>
        <v>-0.30184339752459238</v>
      </c>
      <c r="K11" s="8">
        <f>IFERROR(((Monthly_Aggregates!T11-Monthly_Aggregates!T10)/Monthly_Aggregates!T10)/((Monthly_Aggregates!U11-Monthly_Aggregates!U10)/Monthly_Aggregates!U10),"")</f>
        <v>-0.18221220240079358</v>
      </c>
      <c r="L11" s="8">
        <f>IFERROR(((Monthly_Aggregates!V11-Monthly_Aggregates!V10)/Monthly_Aggregates!V10)/((Monthly_Aggregates!W11-Monthly_Aggregates!W10)/Monthly_Aggregates!W10),"")</f>
        <v>0.41337011524552814</v>
      </c>
      <c r="M11" s="8">
        <f>IFERROR(((Monthly_Aggregates!X11-Monthly_Aggregates!X10)/Monthly_Aggregates!X10)/((Monthly_Aggregates!Y11-Monthly_Aggregates!Y10)/Monthly_Aggregates!Y10),"")</f>
        <v>0.93648032045594076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79</v>
      </c>
      <c r="B12" s="8">
        <f>IFERROR(((Monthly_Aggregates!B12-Monthly_Aggregates!B11)/Monthly_Aggregates!B11)/((Monthly_Aggregates!C12-Monthly_Aggregates!C11)/Monthly_Aggregates!C11),"")</f>
        <v>2.2513233012130223</v>
      </c>
      <c r="C12" s="8">
        <f>IFERROR(((Monthly_Aggregates!D12-Monthly_Aggregates!D11)/Monthly_Aggregates!D11)/((Monthly_Aggregates!E12-Monthly_Aggregates!E11)/Monthly_Aggregates!E11),"")</f>
        <v>2.2513233012130223</v>
      </c>
      <c r="D12" s="8">
        <f>IFERROR(((Monthly_Aggregates!F12-Monthly_Aggregates!F11)/Monthly_Aggregates!F11)/((Monthly_Aggregates!G12-Monthly_Aggregates!G11)/Monthly_Aggregates!G11),"")</f>
        <v>2.2513233012130223</v>
      </c>
      <c r="E12" s="8">
        <f>IFERROR(((Monthly_Aggregates!H12-Monthly_Aggregates!H11)/Monthly_Aggregates!H11)/((Monthly_Aggregates!I12-Monthly_Aggregates!I11)/Monthly_Aggregates!I11),"")</f>
        <v>2.2513233012130223</v>
      </c>
      <c r="F12" s="8">
        <f>IFERROR(((Monthly_Aggregates!J12-Monthly_Aggregates!J11)/Monthly_Aggregates!J11)/((Monthly_Aggregates!K12-Monthly_Aggregates!K11)/Monthly_Aggregates!K11),"")</f>
        <v>1.2043864463116376</v>
      </c>
      <c r="G12" s="8">
        <f>IFERROR(((Monthly_Aggregates!L12-Monthly_Aggregates!L11)/Monthly_Aggregates!L11)/((Monthly_Aggregates!M12-Monthly_Aggregates!M11)/Monthly_Aggregates!M11),"")</f>
        <v>1.2571328075834474</v>
      </c>
      <c r="H12" s="8">
        <f>IFERROR(((Monthly_Aggregates!N12-Monthly_Aggregates!N11)/Monthly_Aggregates!N11)/((Monthly_Aggregates!O12-Monthly_Aggregates!O11)/Monthly_Aggregates!O11),"")</f>
        <v>1.4562915823385714</v>
      </c>
      <c r="I12" s="8">
        <f>IFERROR(((Monthly_Aggregates!P12-Monthly_Aggregates!P11)/Monthly_Aggregates!P11)/((Monthly_Aggregates!Q12-Monthly_Aggregates!Q11)/Monthly_Aggregates!Q11),"")</f>
        <v>1.5356786275347158</v>
      </c>
      <c r="J12" s="8">
        <f>IFERROR(((Monthly_Aggregates!R12-Monthly_Aggregates!R11)/Monthly_Aggregates!R11)/((Monthly_Aggregates!S12-Monthly_Aggregates!S11)/Monthly_Aggregates!S11),"")</f>
        <v>3.6467536489373367</v>
      </c>
      <c r="K12" s="8">
        <f>IFERROR(((Monthly_Aggregates!T12-Monthly_Aggregates!T11)/Monthly_Aggregates!T11)/((Monthly_Aggregates!U12-Monthly_Aggregates!U11)/Monthly_Aggregates!U11),"")</f>
        <v>4.5304238971545505</v>
      </c>
      <c r="L12" s="8">
        <f>IFERROR(((Monthly_Aggregates!V12-Monthly_Aggregates!V11)/Monthly_Aggregates!V11)/((Monthly_Aggregates!W12-Monthly_Aggregates!W11)/Monthly_Aggregates!W11),"")</f>
        <v>5.8240285198931874</v>
      </c>
      <c r="M12" s="8">
        <f>IFERROR(((Monthly_Aggregates!X12-Monthly_Aggregates!X11)/Monthly_Aggregates!X11)/((Monthly_Aggregates!Y12-Monthly_Aggregates!Y11)/Monthly_Aggregates!Y11),"")</f>
        <v>8.0545592382572906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80</v>
      </c>
      <c r="B13" s="8">
        <f>IFERROR(((Monthly_Aggregates!B13-Monthly_Aggregates!B12)/Monthly_Aggregates!B12)/((Monthly_Aggregates!C13-Monthly_Aggregates!C12)/Monthly_Aggregates!C12),"")</f>
        <v>-0.97069624800173249</v>
      </c>
      <c r="C13" s="8">
        <f>IFERROR(((Monthly_Aggregates!D13-Monthly_Aggregates!D12)/Monthly_Aggregates!D12)/((Monthly_Aggregates!E13-Monthly_Aggregates!E12)/Monthly_Aggregates!E12),"")</f>
        <v>-0.97069624800173249</v>
      </c>
      <c r="D13" s="8">
        <f>IFERROR(((Monthly_Aggregates!F13-Monthly_Aggregates!F12)/Monthly_Aggregates!F12)/((Monthly_Aggregates!G13-Monthly_Aggregates!G12)/Monthly_Aggregates!G12),"")</f>
        <v>-0.97069624800173249</v>
      </c>
      <c r="E13" s="8">
        <f>IFERROR(((Monthly_Aggregates!H13-Monthly_Aggregates!H12)/Monthly_Aggregates!H12)/((Monthly_Aggregates!I13-Monthly_Aggregates!I12)/Monthly_Aggregates!I12),"")</f>
        <v>-0.97069624800173249</v>
      </c>
      <c r="F13" s="8">
        <f>IFERROR(((Monthly_Aggregates!J13-Monthly_Aggregates!J12)/Monthly_Aggregates!J12)/((Monthly_Aggregates!K13-Monthly_Aggregates!K12)/Monthly_Aggregates!K12),"")</f>
        <v>-0.30383968047606835</v>
      </c>
      <c r="G13" s="8">
        <f>IFERROR(((Monthly_Aggregates!L13-Monthly_Aggregates!L12)/Monthly_Aggregates!L12)/((Monthly_Aggregates!M13-Monthly_Aggregates!M12)/Monthly_Aggregates!M12),"")</f>
        <v>-0.66169661441078986</v>
      </c>
      <c r="H13" s="8">
        <f>IFERROR(((Monthly_Aggregates!N13-Monthly_Aggregates!N12)/Monthly_Aggregates!N12)/((Monthly_Aggregates!O13-Monthly_Aggregates!O12)/Monthly_Aggregates!O12),"")</f>
        <v>-0.78045327995074787</v>
      </c>
      <c r="I13" s="8">
        <f>IFERROR(((Monthly_Aggregates!P13-Monthly_Aggregates!P12)/Monthly_Aggregates!P12)/((Monthly_Aggregates!Q13-Monthly_Aggregates!Q12)/Monthly_Aggregates!Q12),"")</f>
        <v>-0.74430469155668488</v>
      </c>
      <c r="J13" s="8">
        <f>IFERROR(((Monthly_Aggregates!R13-Monthly_Aggregates!R12)/Monthly_Aggregates!R12)/((Monthly_Aggregates!S13-Monthly_Aggregates!S12)/Monthly_Aggregates!S12),"")</f>
        <v>-0.51922183988003479</v>
      </c>
      <c r="K13" s="8">
        <f>IFERROR(((Monthly_Aggregates!T13-Monthly_Aggregates!T12)/Monthly_Aggregates!T12)/((Monthly_Aggregates!U13-Monthly_Aggregates!U12)/Monthly_Aggregates!U12),"")</f>
        <v>-0.51767045535715639</v>
      </c>
      <c r="L13" s="8">
        <f>IFERROR(((Monthly_Aggregates!V13-Monthly_Aggregates!V12)/Monthly_Aggregates!V12)/((Monthly_Aggregates!W13-Monthly_Aggregates!W12)/Monthly_Aggregates!W12),"")</f>
        <v>-0.3097527203529733</v>
      </c>
      <c r="M13" s="8">
        <f>IFERROR(((Monthly_Aggregates!X13-Monthly_Aggregates!X12)/Monthly_Aggregates!X12)/((Monthly_Aggregates!Y13-Monthly_Aggregates!Y12)/Monthly_Aggregates!Y12),"")</f>
        <v>-0.26720140282614468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81</v>
      </c>
      <c r="B14" s="8">
        <f>IFERROR(((Monthly_Aggregates!B14-Monthly_Aggregates!B13)/Monthly_Aggregates!B13)/((Monthly_Aggregates!C14-Monthly_Aggregates!C13)/Monthly_Aggregates!C13),"")</f>
        <v>4.8864940765242402</v>
      </c>
      <c r="C14" s="8">
        <f>IFERROR(((Monthly_Aggregates!D14-Monthly_Aggregates!D13)/Monthly_Aggregates!D13)/((Monthly_Aggregates!E14-Monthly_Aggregates!E13)/Monthly_Aggregates!E13),"")</f>
        <v>4.8864940765242402</v>
      </c>
      <c r="D14" s="8">
        <f>IFERROR(((Monthly_Aggregates!F14-Monthly_Aggregates!F13)/Monthly_Aggregates!F13)/((Monthly_Aggregates!G14-Monthly_Aggregates!G13)/Monthly_Aggregates!G13),"")</f>
        <v>4.8864940765242402</v>
      </c>
      <c r="E14" s="8">
        <f>IFERROR(((Monthly_Aggregates!H14-Monthly_Aggregates!H13)/Monthly_Aggregates!H13)/((Monthly_Aggregates!I14-Monthly_Aggregates!I13)/Monthly_Aggregates!I13),"")</f>
        <v>4.8864940765242402</v>
      </c>
      <c r="F14" s="8">
        <f>IFERROR(((Monthly_Aggregates!J14-Monthly_Aggregates!J13)/Monthly_Aggregates!J13)/((Monthly_Aggregates!K14-Monthly_Aggregates!K13)/Monthly_Aggregates!K13),"")</f>
        <v>2.9453362497533186</v>
      </c>
      <c r="G14" s="8">
        <f>IFERROR(((Monthly_Aggregates!L14-Monthly_Aggregates!L13)/Monthly_Aggregates!L13)/((Monthly_Aggregates!M14-Monthly_Aggregates!M13)/Monthly_Aggregates!M13),"")</f>
        <v>2.3451762652653159</v>
      </c>
      <c r="H14" s="8">
        <f>IFERROR(((Monthly_Aggregates!N14-Monthly_Aggregates!N13)/Monthly_Aggregates!N13)/((Monthly_Aggregates!O14-Monthly_Aggregates!O13)/Monthly_Aggregates!O13),"")</f>
        <v>2.1464105194889984</v>
      </c>
      <c r="I14" s="8">
        <f>IFERROR(((Monthly_Aggregates!P14-Monthly_Aggregates!P13)/Monthly_Aggregates!P13)/((Monthly_Aggregates!Q14-Monthly_Aggregates!Q13)/Monthly_Aggregates!Q13),"")</f>
        <v>2.0147882561383352</v>
      </c>
      <c r="J14" s="8">
        <f>IFERROR(((Monthly_Aggregates!R14-Monthly_Aggregates!R13)/Monthly_Aggregates!R13)/((Monthly_Aggregates!S14-Monthly_Aggregates!S13)/Monthly_Aggregates!S13),"")</f>
        <v>-0.48474832607398338</v>
      </c>
      <c r="K14" s="8">
        <f>IFERROR(((Monthly_Aggregates!T14-Monthly_Aggregates!T13)/Monthly_Aggregates!T13)/((Monthly_Aggregates!U14-Monthly_Aggregates!U13)/Monthly_Aggregates!U13),"")</f>
        <v>0.16902230915390279</v>
      </c>
      <c r="L14" s="8">
        <f>IFERROR(((Monthly_Aggregates!V14-Monthly_Aggregates!V13)/Monthly_Aggregates!V13)/((Monthly_Aggregates!W14-Monthly_Aggregates!W13)/Monthly_Aggregates!W13),"")</f>
        <v>-1.339388042341747</v>
      </c>
      <c r="M14" s="8">
        <f>IFERROR(((Monthly_Aggregates!X14-Monthly_Aggregates!X13)/Monthly_Aggregates!X13)/((Monthly_Aggregates!Y14-Monthly_Aggregates!Y13)/Monthly_Aggregates!Y13),"")</f>
        <v>-2.2561958603440071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82</v>
      </c>
      <c r="B15" s="8">
        <f>IFERROR(((Monthly_Aggregates!B15-Monthly_Aggregates!B14)/Monthly_Aggregates!B14)/((Monthly_Aggregates!C15-Monthly_Aggregates!C14)/Monthly_Aggregates!C14),"")</f>
        <v>-217.81533274089</v>
      </c>
      <c r="C15" s="8">
        <f>IFERROR(((Monthly_Aggregates!D15-Monthly_Aggregates!D14)/Monthly_Aggregates!D14)/((Monthly_Aggregates!E15-Monthly_Aggregates!E14)/Monthly_Aggregates!E14),"")</f>
        <v>-217.81533274089</v>
      </c>
      <c r="D15" s="8">
        <f>IFERROR(((Monthly_Aggregates!F15-Monthly_Aggregates!F14)/Monthly_Aggregates!F14)/((Monthly_Aggregates!G15-Monthly_Aggregates!G14)/Monthly_Aggregates!G14),"")</f>
        <v>-217.81533274089</v>
      </c>
      <c r="E15" s="8">
        <f>IFERROR(((Monthly_Aggregates!H15-Monthly_Aggregates!H14)/Monthly_Aggregates!H14)/((Monthly_Aggregates!I15-Monthly_Aggregates!I14)/Monthly_Aggregates!I14),"")</f>
        <v>-217.81533274089</v>
      </c>
      <c r="F15" s="8">
        <f>IFERROR(((Monthly_Aggregates!J15-Monthly_Aggregates!J14)/Monthly_Aggregates!J14)/((Monthly_Aggregates!K15-Monthly_Aggregates!K14)/Monthly_Aggregates!K14),"")</f>
        <v>58.654884245068779</v>
      </c>
      <c r="G15" s="8">
        <f>IFERROR(((Monthly_Aggregates!L15-Monthly_Aggregates!L14)/Monthly_Aggregates!L14)/((Monthly_Aggregates!M15-Monthly_Aggregates!M14)/Monthly_Aggregates!M14),"")</f>
        <v>11.692287036948288</v>
      </c>
      <c r="H15" s="8">
        <f>IFERROR(((Monthly_Aggregates!N15-Monthly_Aggregates!N14)/Monthly_Aggregates!N14)/((Monthly_Aggregates!O15-Monthly_Aggregates!O14)/Monthly_Aggregates!O14),"")</f>
        <v>8.7160357005070619</v>
      </c>
      <c r="I15" s="8">
        <f>IFERROR(((Monthly_Aggregates!P15-Monthly_Aggregates!P14)/Monthly_Aggregates!P14)/((Monthly_Aggregates!Q15-Monthly_Aggregates!Q14)/Monthly_Aggregates!Q14),"")</f>
        <v>9.0218445849937083</v>
      </c>
      <c r="J15" s="8">
        <f>IFERROR(((Monthly_Aggregates!R15-Monthly_Aggregates!R14)/Monthly_Aggregates!R14)/((Monthly_Aggregates!S15-Monthly_Aggregates!S14)/Monthly_Aggregates!S14),"")</f>
        <v>9.091928008519746</v>
      </c>
      <c r="K15" s="8">
        <f>IFERROR(((Monthly_Aggregates!T15-Monthly_Aggregates!T14)/Monthly_Aggregates!T14)/((Monthly_Aggregates!U15-Monthly_Aggregates!U14)/Monthly_Aggregates!U14),"")</f>
        <v>10.580758642684707</v>
      </c>
      <c r="L15" s="8">
        <f>IFERROR(((Monthly_Aggregates!V15-Monthly_Aggregates!V14)/Monthly_Aggregates!V14)/((Monthly_Aggregates!W15-Monthly_Aggregates!W14)/Monthly_Aggregates!W14),"")</f>
        <v>10.338555618681511</v>
      </c>
      <c r="M15" s="8">
        <f>IFERROR(((Monthly_Aggregates!X15-Monthly_Aggregates!X14)/Monthly_Aggregates!X14)/((Monthly_Aggregates!Y15-Monthly_Aggregates!Y14)/Monthly_Aggregates!Y14),"")</f>
        <v>10.502930246858682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1">
    <mergeCell ref="A1:M1"/>
  </mergeCells>
  <conditionalFormatting sqref="B4:M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"/>
  <sheetViews>
    <sheetView workbookViewId="0"/>
  </sheetViews>
  <sheetFormatPr baseColWidth="10" defaultColWidth="8.83203125" defaultRowHeight="14"/>
  <cols>
    <col min="1" max="1" width="12" customWidth="1"/>
    <col min="2" max="2" width="22" customWidth="1"/>
    <col min="3" max="3" width="16" customWidth="1"/>
    <col min="4" max="4" width="22" customWidth="1"/>
    <col min="5" max="5" width="24" customWidth="1"/>
    <col min="6" max="6" width="16" customWidth="1"/>
  </cols>
  <sheetData>
    <row r="1" spans="1:26" ht="18">
      <c r="A1" s="9" t="s">
        <v>96</v>
      </c>
      <c r="B1" s="9"/>
      <c r="C1" s="9"/>
      <c r="D1" s="9"/>
      <c r="E1" s="9"/>
      <c r="F1" s="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102</v>
      </c>
      <c r="B4" s="5">
        <v>10</v>
      </c>
      <c r="C4" s="5" t="s">
        <v>103</v>
      </c>
      <c r="D4" s="6">
        <v>1496.5471575455658</v>
      </c>
      <c r="E4" s="7">
        <v>0.10796339077997295</v>
      </c>
      <c r="F4" s="5" t="s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102</v>
      </c>
      <c r="B5" s="5">
        <v>15</v>
      </c>
      <c r="C5" s="5" t="s">
        <v>104</v>
      </c>
      <c r="D5" s="6">
        <v>1494.0438820559023</v>
      </c>
      <c r="E5" s="7">
        <v>0.1078872067757467</v>
      </c>
      <c r="F5" s="5" t="s">
        <v>103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102</v>
      </c>
      <c r="B6" s="5">
        <v>20</v>
      </c>
      <c r="C6" s="5" t="s">
        <v>105</v>
      </c>
      <c r="D6" s="6">
        <v>1494.0438820559023</v>
      </c>
      <c r="E6" s="7">
        <v>0.1078872067757467</v>
      </c>
      <c r="F6" s="5" t="s">
        <v>103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102</v>
      </c>
      <c r="B7" s="5">
        <v>30</v>
      </c>
      <c r="C7" s="5" t="s">
        <v>106</v>
      </c>
      <c r="D7" s="6">
        <v>1494.0438820559023</v>
      </c>
      <c r="E7" s="7">
        <v>0.1078872067757467</v>
      </c>
      <c r="F7" s="5" t="s">
        <v>103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107</v>
      </c>
      <c r="B8" s="5">
        <v>10</v>
      </c>
      <c r="C8" s="5" t="s">
        <v>108</v>
      </c>
      <c r="D8" s="6">
        <v>1883.7243982726131</v>
      </c>
      <c r="E8" s="7">
        <v>0.11322604038870257</v>
      </c>
      <c r="F8" s="5" t="s">
        <v>103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107</v>
      </c>
      <c r="B9" s="5">
        <v>15</v>
      </c>
      <c r="C9" s="5" t="s">
        <v>109</v>
      </c>
      <c r="D9" s="6">
        <v>1827.2941031059809</v>
      </c>
      <c r="E9" s="7">
        <v>0.11179915727530826</v>
      </c>
      <c r="F9" s="5" t="s">
        <v>103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107</v>
      </c>
      <c r="B10" s="5">
        <v>20</v>
      </c>
      <c r="C10" s="5" t="s">
        <v>110</v>
      </c>
      <c r="D10" s="6">
        <v>1752.2663698230172</v>
      </c>
      <c r="E10" s="7">
        <v>0.11092090872440571</v>
      </c>
      <c r="F10" s="5" t="s">
        <v>103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107</v>
      </c>
      <c r="B11" s="5">
        <v>30</v>
      </c>
      <c r="C11" s="5" t="s">
        <v>111</v>
      </c>
      <c r="D11" s="6">
        <v>1717.5996517002268</v>
      </c>
      <c r="E11" s="7">
        <v>0.11062092732045302</v>
      </c>
      <c r="F11" s="5" t="s">
        <v>103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112</v>
      </c>
      <c r="B12" s="5">
        <v>10</v>
      </c>
      <c r="C12" s="5" t="s">
        <v>113</v>
      </c>
      <c r="D12" s="6">
        <v>1227.1164112015281</v>
      </c>
      <c r="E12" s="7">
        <v>0.10203413691361432</v>
      </c>
      <c r="F12" s="5" t="s">
        <v>103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112</v>
      </c>
      <c r="B13" s="5">
        <v>15</v>
      </c>
      <c r="C13" s="5" t="s">
        <v>114</v>
      </c>
      <c r="D13" s="6">
        <v>1084.5538643801294</v>
      </c>
      <c r="E13" s="7">
        <v>0.10126793820686489</v>
      </c>
      <c r="F13" s="5" t="s">
        <v>103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112</v>
      </c>
      <c r="B14" s="5">
        <v>20</v>
      </c>
      <c r="C14" s="5" t="s">
        <v>115</v>
      </c>
      <c r="D14" s="6">
        <v>997.85948422927743</v>
      </c>
      <c r="E14" s="7">
        <v>0.10114258883226344</v>
      </c>
      <c r="F14" s="5" t="s">
        <v>103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112</v>
      </c>
      <c r="B15" s="5">
        <v>30</v>
      </c>
      <c r="C15" s="5" t="s">
        <v>116</v>
      </c>
      <c r="D15" s="6">
        <v>944.81302413764672</v>
      </c>
      <c r="E15" s="7">
        <v>0.10035486538851562</v>
      </c>
      <c r="F15" s="5" t="s">
        <v>103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"/>
  <sheetViews>
    <sheetView workbookViewId="0"/>
  </sheetViews>
  <sheetFormatPr baseColWidth="10" defaultColWidth="8.83203125" defaultRowHeight="14"/>
  <cols>
    <col min="1" max="1" width="12" customWidth="1"/>
    <col min="2" max="2" width="22" customWidth="1"/>
    <col min="3" max="3" width="16" customWidth="1"/>
    <col min="4" max="5" width="28" customWidth="1"/>
    <col min="6" max="6" width="20" customWidth="1"/>
    <col min="7" max="7" width="24" customWidth="1"/>
  </cols>
  <sheetData>
    <row r="1" spans="1:26" ht="18">
      <c r="A1" s="9" t="s">
        <v>117</v>
      </c>
      <c r="B1" s="9"/>
      <c r="C1" s="9"/>
      <c r="D1" s="9"/>
      <c r="E1" s="9"/>
      <c r="F1" s="9"/>
      <c r="G1" s="9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>
      <c r="A3" s="1" t="s">
        <v>97</v>
      </c>
      <c r="B3" s="1" t="s">
        <v>98</v>
      </c>
      <c r="C3" s="1" t="s">
        <v>99</v>
      </c>
      <c r="D3" s="1" t="s">
        <v>118</v>
      </c>
      <c r="E3" s="1" t="s">
        <v>119</v>
      </c>
      <c r="F3" s="1" t="s">
        <v>100</v>
      </c>
      <c r="G3" s="1" t="s">
        <v>101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102</v>
      </c>
      <c r="B4" s="5">
        <v>10</v>
      </c>
      <c r="C4" s="5" t="s">
        <v>103</v>
      </c>
      <c r="D4" s="8"/>
      <c r="E4" s="8">
        <f>IFERROR(SUMPRODUCT(Monthly_Aggregates!B5:B15,Monthly_Elasticity!B5:B15)/SUM(Monthly_Aggregates!B5:B15),"")</f>
        <v>-17.11521319494458</v>
      </c>
      <c r="F4" s="6">
        <f>Annual_Aggregates!D4</f>
        <v>1496.5471575455658</v>
      </c>
      <c r="G4" s="7">
        <f>Annual_Aggregates!E4</f>
        <v>0.10796339077997295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 t="s">
        <v>102</v>
      </c>
      <c r="B5" s="5">
        <v>15</v>
      </c>
      <c r="C5" s="5" t="s">
        <v>104</v>
      </c>
      <c r="D5" s="8">
        <f>IFERROR(((Annual_Aggregates!D5-Annual_Aggregates!$D$4)/Annual_Aggregates!$D$4)/((Annual_Aggregates!E5-Annual_Aggregates!$E$4)/Annual_Aggregates!$E$4),"")</f>
        <v>2.3704508841050402</v>
      </c>
      <c r="E5" s="8">
        <f>IFERROR(SUMPRODUCT(Monthly_Aggregates!D5:D15,Monthly_Elasticity!C5:C15)/SUM(Monthly_Aggregates!D5:D15),"")</f>
        <v>-17.106003690272466</v>
      </c>
      <c r="F5" s="6">
        <f>Annual_Aggregates!D5</f>
        <v>1494.0438820559023</v>
      </c>
      <c r="G5" s="7">
        <f>Annual_Aggregates!E5</f>
        <v>0.1078872067757467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 t="s">
        <v>102</v>
      </c>
      <c r="B6" s="5">
        <v>20</v>
      </c>
      <c r="C6" s="5" t="s">
        <v>105</v>
      </c>
      <c r="D6" s="8">
        <f>IFERROR(((Annual_Aggregates!D6-Annual_Aggregates!$D$4)/Annual_Aggregates!$D$4)/((Annual_Aggregates!E6-Annual_Aggregates!$E$4)/Annual_Aggregates!$E$4),"")</f>
        <v>2.3704508841050402</v>
      </c>
      <c r="E6" s="8">
        <f>IFERROR(SUMPRODUCT(Monthly_Aggregates!F5:F15,Monthly_Elasticity!D5:D15)/SUM(Monthly_Aggregates!F5:F15),"")</f>
        <v>-17.106003690272466</v>
      </c>
      <c r="F6" s="6">
        <f>Annual_Aggregates!D6</f>
        <v>1494.0438820559023</v>
      </c>
      <c r="G6" s="7">
        <f>Annual_Aggregates!E6</f>
        <v>0.1078872067757467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 t="s">
        <v>102</v>
      </c>
      <c r="B7" s="5">
        <v>30</v>
      </c>
      <c r="C7" s="5" t="s">
        <v>106</v>
      </c>
      <c r="D7" s="8">
        <f>IFERROR(((Annual_Aggregates!D7-Annual_Aggregates!$D$4)/Annual_Aggregates!$D$4)/((Annual_Aggregates!E7-Annual_Aggregates!$E$4)/Annual_Aggregates!$E$4),"")</f>
        <v>2.3704508841050402</v>
      </c>
      <c r="E7" s="8">
        <f>IFERROR(SUMPRODUCT(Monthly_Aggregates!H5:H15,Monthly_Elasticity!E5:E15)/SUM(Monthly_Aggregates!H5:H15),"")</f>
        <v>-17.106003690272466</v>
      </c>
      <c r="F7" s="6">
        <f>Annual_Aggregates!D7</f>
        <v>1494.0438820559023</v>
      </c>
      <c r="G7" s="7">
        <f>Annual_Aggregates!E7</f>
        <v>0.1078872067757467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 t="s">
        <v>107</v>
      </c>
      <c r="B8" s="5">
        <v>10</v>
      </c>
      <c r="C8" s="5" t="s">
        <v>108</v>
      </c>
      <c r="D8" s="8">
        <f>IFERROR(((Annual_Aggregates!D8-Annual_Aggregates!$D$4)/Annual_Aggregates!$D$4)/((Annual_Aggregates!E8-Annual_Aggregates!$E$4)/Annual_Aggregates!$E$4),"")</f>
        <v>5.3075179864108124</v>
      </c>
      <c r="E8" s="8">
        <f>IFERROR(SUMPRODUCT(Monthly_Aggregates!J5:J15,Monthly_Elasticity!F5:F15)/SUM(Monthly_Aggregates!J5:J15),"")</f>
        <v>8.1344544506826999</v>
      </c>
      <c r="F8" s="6">
        <f>Annual_Aggregates!D8</f>
        <v>1883.7243982726131</v>
      </c>
      <c r="G8" s="7">
        <f>Annual_Aggregates!E8</f>
        <v>0.11322604038870257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 t="s">
        <v>107</v>
      </c>
      <c r="B9" s="5">
        <v>15</v>
      </c>
      <c r="C9" s="5" t="s">
        <v>109</v>
      </c>
      <c r="D9" s="8">
        <f>IFERROR(((Annual_Aggregates!D9-Annual_Aggregates!$D$4)/Annual_Aggregates!$D$4)/((Annual_Aggregates!E9-Annual_Aggregates!$E$4)/Annual_Aggregates!$E$4),"")</f>
        <v>6.220564395878351</v>
      </c>
      <c r="E9" s="8">
        <f>IFERROR(SUMPRODUCT(Monthly_Aggregates!L5:L15,Monthly_Elasticity!G5:G15)/SUM(Monthly_Aggregates!L5:L15),"")</f>
        <v>2.575472257024396</v>
      </c>
      <c r="F9" s="6">
        <f>Annual_Aggregates!D9</f>
        <v>1827.2941031059809</v>
      </c>
      <c r="G9" s="7">
        <f>Annual_Aggregates!E9</f>
        <v>0.11179915727530826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 t="s">
        <v>107</v>
      </c>
      <c r="B10" s="5">
        <v>20</v>
      </c>
      <c r="C10" s="5" t="s">
        <v>110</v>
      </c>
      <c r="D10" s="8">
        <f>IFERROR(((Annual_Aggregates!D10-Annual_Aggregates!$D$4)/Annual_Aggregates!$D$4)/((Annual_Aggregates!E10-Annual_Aggregates!$E$4)/Annual_Aggregates!$E$4),"")</f>
        <v>6.2376654633159561</v>
      </c>
      <c r="E10" s="8">
        <f>IFERROR(SUMPRODUCT(Monthly_Aggregates!N5:N15,Monthly_Elasticity!H5:H15)/SUM(Monthly_Aggregates!N5:N15),"")</f>
        <v>0.97116213715132704</v>
      </c>
      <c r="F10" s="6">
        <f>Annual_Aggregates!D10</f>
        <v>1752.2663698230172</v>
      </c>
      <c r="G10" s="7">
        <f>Annual_Aggregates!E10</f>
        <v>0.11092090872440571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 t="s">
        <v>107</v>
      </c>
      <c r="B11" s="5">
        <v>30</v>
      </c>
      <c r="C11" s="5" t="s">
        <v>111</v>
      </c>
      <c r="D11" s="8">
        <f>IFERROR(((Annual_Aggregates!D11-Annual_Aggregates!$D$4)/Annual_Aggregates!$D$4)/((Annual_Aggregates!E11-Annual_Aggregates!$E$4)/Annual_Aggregates!$E$4),"")</f>
        <v>6.000705100364125</v>
      </c>
      <c r="E11" s="8">
        <f>IFERROR(SUMPRODUCT(Monthly_Aggregates!P5:P15,Monthly_Elasticity!I5:I15)/SUM(Monthly_Aggregates!P5:P15),"")</f>
        <v>1.5502653832948876</v>
      </c>
      <c r="F11" s="6">
        <f>Annual_Aggregates!D11</f>
        <v>1717.5996517002268</v>
      </c>
      <c r="G11" s="7">
        <f>Annual_Aggregates!E11</f>
        <v>0.11062092732045302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 t="s">
        <v>112</v>
      </c>
      <c r="B12" s="5">
        <v>10</v>
      </c>
      <c r="C12" s="5" t="s">
        <v>113</v>
      </c>
      <c r="D12" s="8">
        <f>IFERROR(((Annual_Aggregates!D12-Annual_Aggregates!$D$4)/Annual_Aggregates!$D$4)/((Annual_Aggregates!E12-Annual_Aggregates!$E$4)/Annual_Aggregates!$E$4),"")</f>
        <v>3.278183183947379</v>
      </c>
      <c r="E12" s="8">
        <f>IFERROR(SUMPRODUCT(Monthly_Aggregates!R5:R15,Monthly_Elasticity!J5:J15)/SUM(Monthly_Aggregates!R5:R15),"")</f>
        <v>-0.90879082492499086</v>
      </c>
      <c r="F12" s="6">
        <f>Annual_Aggregates!D12</f>
        <v>1227.1164112015281</v>
      </c>
      <c r="G12" s="7">
        <f>Annual_Aggregates!E12</f>
        <v>0.10203413691361432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 t="s">
        <v>112</v>
      </c>
      <c r="B13" s="5">
        <v>15</v>
      </c>
      <c r="C13" s="5" t="s">
        <v>114</v>
      </c>
      <c r="D13" s="8">
        <f>IFERROR(((Annual_Aggregates!D13-Annual_Aggregates!$D$4)/Annual_Aggregates!$D$4)/((Annual_Aggregates!E13-Annual_Aggregates!$E$4)/Annual_Aggregates!$E$4),"")</f>
        <v>4.4391141983944804</v>
      </c>
      <c r="E13" s="8">
        <f>IFERROR(SUMPRODUCT(Monthly_Aggregates!T5:T15,Monthly_Elasticity!K5:K15)/SUM(Monthly_Aggregates!T5:T15),"")</f>
        <v>0.33558484393459459</v>
      </c>
      <c r="F13" s="6">
        <f>Annual_Aggregates!D13</f>
        <v>1084.5538643801294</v>
      </c>
      <c r="G13" s="7">
        <f>Annual_Aggregates!E13</f>
        <v>0.10126793820686489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 t="s">
        <v>112</v>
      </c>
      <c r="B14" s="5">
        <v>20</v>
      </c>
      <c r="C14" s="5" t="s">
        <v>115</v>
      </c>
      <c r="D14" s="8">
        <f>IFERROR(((Annual_Aggregates!D14-Annual_Aggregates!$D$4)/Annual_Aggregates!$D$4)/((Annual_Aggregates!E14-Annual_Aggregates!$E$4)/Annual_Aggregates!$E$4),"")</f>
        <v>5.2744757932792039</v>
      </c>
      <c r="E14" s="8">
        <f>IFERROR(SUMPRODUCT(Monthly_Aggregates!V5:V15,Monthly_Elasticity!L5:L15)/SUM(Monthly_Aggregates!V5:V15),"")</f>
        <v>3.5912158492117729</v>
      </c>
      <c r="F14" s="6">
        <f>Annual_Aggregates!D14</f>
        <v>997.85948422927743</v>
      </c>
      <c r="G14" s="7">
        <f>Annual_Aggregates!E14</f>
        <v>0.10114258883226344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 t="s">
        <v>112</v>
      </c>
      <c r="B15" s="5">
        <v>30</v>
      </c>
      <c r="C15" s="5" t="s">
        <v>116</v>
      </c>
      <c r="D15" s="8">
        <f>IFERROR(((Annual_Aggregates!D15-Annual_Aggregates!$D$4)/Annual_Aggregates!$D$4)/((Annual_Aggregates!E15-Annual_Aggregates!$E$4)/Annual_Aggregates!$E$4),"")</f>
        <v>5.2313703656912089</v>
      </c>
      <c r="E15" s="8">
        <f>IFERROR(SUMPRODUCT(Monthly_Aggregates!X5:X15,Monthly_Elasticity!M5:M15)/SUM(Monthly_Aggregates!X5:X15),"")</f>
        <v>2.1808154054650783</v>
      </c>
      <c r="F15" s="6">
        <f>Annual_Aggregates!D15</f>
        <v>944.81302413764672</v>
      </c>
      <c r="G15" s="7">
        <f>Annual_Aggregates!E15</f>
        <v>0.10035486538851562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1">
    <mergeCell ref="A1:G1"/>
  </mergeCells>
  <conditionalFormatting sqref="D4:E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4"/>
  <sheetViews>
    <sheetView workbookViewId="0">
      <selection sqref="A1:N1"/>
    </sheetView>
  </sheetViews>
  <sheetFormatPr baseColWidth="10" defaultColWidth="8.83203125" defaultRowHeight="14"/>
  <sheetData>
    <row r="1" spans="1:14" ht="18">
      <c r="A1" s="9" t="s">
        <v>120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40" spans="1:4">
      <c r="A40" s="3"/>
      <c r="B40" s="3"/>
      <c r="C40" s="3"/>
      <c r="D40" s="3"/>
    </row>
    <row r="41" spans="1:4" ht="30">
      <c r="A41" s="4" t="s">
        <v>46</v>
      </c>
      <c r="B41" s="4" t="s">
        <v>103</v>
      </c>
      <c r="C41" s="4" t="s">
        <v>108</v>
      </c>
      <c r="D41" s="4" t="s">
        <v>113</v>
      </c>
    </row>
    <row r="42" spans="1:4">
      <c r="A42" s="3" t="s">
        <v>71</v>
      </c>
      <c r="B42" s="3">
        <f>Monthly_Elasticity!B4</f>
        <v>0</v>
      </c>
      <c r="C42" s="3">
        <f>Monthly_Elasticity!F4</f>
        <v>0</v>
      </c>
      <c r="D42" s="3">
        <f>Monthly_Elasticity!J4</f>
        <v>0</v>
      </c>
    </row>
    <row r="43" spans="1:4">
      <c r="A43" s="3" t="s">
        <v>72</v>
      </c>
      <c r="B43" s="3">
        <f>Monthly_Elasticity!B5</f>
        <v>-9.6316942752074267E-2</v>
      </c>
      <c r="C43" s="3">
        <f>Monthly_Elasticity!F5</f>
        <v>-0.83944710290019453</v>
      </c>
      <c r="D43" s="3">
        <f>Monthly_Elasticity!J5</f>
        <v>-0.9916942510341995</v>
      </c>
    </row>
    <row r="44" spans="1:4">
      <c r="A44" s="3" t="s">
        <v>73</v>
      </c>
      <c r="B44" s="3">
        <f>Monthly_Elasticity!B6</f>
        <v>0.33215668767334455</v>
      </c>
      <c r="C44" s="3">
        <f>Monthly_Elasticity!F6</f>
        <v>-0.14504470460423785</v>
      </c>
      <c r="D44" s="3">
        <f>Monthly_Elasticity!J6</f>
        <v>-3.87601276007499E-2</v>
      </c>
    </row>
    <row r="45" spans="1:4">
      <c r="A45" s="3" t="s">
        <v>74</v>
      </c>
      <c r="B45" s="3">
        <f>Monthly_Elasticity!B7</f>
        <v>0.97573944988174854</v>
      </c>
      <c r="C45" s="3">
        <f>Monthly_Elasticity!F7</f>
        <v>1.0076302001310802</v>
      </c>
      <c r="D45" s="3">
        <f>Monthly_Elasticity!J7</f>
        <v>0.73793376577861247</v>
      </c>
    </row>
    <row r="46" spans="1:4">
      <c r="A46" s="3" t="s">
        <v>75</v>
      </c>
      <c r="B46" s="3">
        <f>Monthly_Elasticity!B8</f>
        <v>22.930942458540031</v>
      </c>
      <c r="C46" s="3">
        <f>Monthly_Elasticity!F8</f>
        <v>3.1061243644586933</v>
      </c>
      <c r="D46" s="3">
        <f>Monthly_Elasticity!J8</f>
        <v>4.820076286245734</v>
      </c>
    </row>
    <row r="47" spans="1:4">
      <c r="A47" s="3" t="s">
        <v>76</v>
      </c>
      <c r="B47" s="3">
        <f>Monthly_Elasticity!B9</f>
        <v>-2.6283104522449654</v>
      </c>
      <c r="C47" s="3">
        <f>Monthly_Elasticity!F9</f>
        <v>16.035319031927919</v>
      </c>
      <c r="D47" s="3">
        <f>Monthly_Elasticity!J9</f>
        <v>-34.018184924408736</v>
      </c>
    </row>
    <row r="48" spans="1:4">
      <c r="A48" s="3" t="s">
        <v>77</v>
      </c>
      <c r="B48" s="3">
        <f>Monthly_Elasticity!B10</f>
        <v>-0.19472407587993135</v>
      </c>
      <c r="C48" s="3">
        <f>Monthly_Elasticity!F10</f>
        <v>-0.13183803376791758</v>
      </c>
      <c r="D48" s="3">
        <f>Monthly_Elasticity!J10</f>
        <v>-1.3153163143052351</v>
      </c>
    </row>
    <row r="49" spans="1:4">
      <c r="A49" s="3" t="s">
        <v>78</v>
      </c>
      <c r="B49" s="3">
        <f>Monthly_Elasticity!B11</f>
        <v>9.8935343275347726E-2</v>
      </c>
      <c r="C49" s="3">
        <f>Monthly_Elasticity!F11</f>
        <v>-0.23134116857208709</v>
      </c>
      <c r="D49" s="3">
        <f>Monthly_Elasticity!J11</f>
        <v>-0.30184339752459238</v>
      </c>
    </row>
    <row r="50" spans="1:4">
      <c r="A50" s="3" t="s">
        <v>79</v>
      </c>
      <c r="B50" s="3">
        <f>Monthly_Elasticity!B12</f>
        <v>2.2513233012130223</v>
      </c>
      <c r="C50" s="3">
        <f>Monthly_Elasticity!F12</f>
        <v>1.2043864463116376</v>
      </c>
      <c r="D50" s="3">
        <f>Monthly_Elasticity!J12</f>
        <v>3.6467536489373367</v>
      </c>
    </row>
    <row r="51" spans="1:4">
      <c r="A51" s="3" t="s">
        <v>80</v>
      </c>
      <c r="B51" s="3">
        <f>Monthly_Elasticity!B13</f>
        <v>-0.97069624800173249</v>
      </c>
      <c r="C51" s="3">
        <f>Monthly_Elasticity!F13</f>
        <v>-0.30383968047606835</v>
      </c>
      <c r="D51" s="3">
        <f>Monthly_Elasticity!J13</f>
        <v>-0.51922183988003479</v>
      </c>
    </row>
    <row r="52" spans="1:4">
      <c r="A52" s="3" t="s">
        <v>81</v>
      </c>
      <c r="B52" s="3">
        <f>Monthly_Elasticity!B14</f>
        <v>4.8864940765242402</v>
      </c>
      <c r="C52" s="3">
        <f>Monthly_Elasticity!F14</f>
        <v>2.9453362497533186</v>
      </c>
      <c r="D52" s="3">
        <f>Monthly_Elasticity!J14</f>
        <v>-0.48474832607398338</v>
      </c>
    </row>
    <row r="53" spans="1:4">
      <c r="A53" s="3" t="s">
        <v>82</v>
      </c>
      <c r="B53" s="3">
        <f>Monthly_Elasticity!B15</f>
        <v>-217.81533274089</v>
      </c>
      <c r="C53" s="3">
        <f>Monthly_Elasticity!F15</f>
        <v>58.654884245068779</v>
      </c>
      <c r="D53" s="3">
        <f>Monthly_Elasticity!J15</f>
        <v>9.091928008519746</v>
      </c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 ht="30">
      <c r="A56" s="4" t="s">
        <v>46</v>
      </c>
      <c r="B56" s="4" t="s">
        <v>104</v>
      </c>
      <c r="C56" s="4" t="s">
        <v>109</v>
      </c>
      <c r="D56" s="4" t="s">
        <v>114</v>
      </c>
    </row>
    <row r="57" spans="1:4">
      <c r="A57" s="3" t="s">
        <v>71</v>
      </c>
      <c r="B57" s="3">
        <f>Monthly_Elasticity!C4</f>
        <v>0</v>
      </c>
      <c r="C57" s="3">
        <f>Monthly_Elasticity!G4</f>
        <v>0</v>
      </c>
      <c r="D57" s="3">
        <f>Monthly_Elasticity!K4</f>
        <v>0</v>
      </c>
    </row>
    <row r="58" spans="1:4">
      <c r="A58" s="3" t="s">
        <v>72</v>
      </c>
      <c r="B58" s="3">
        <f>Monthly_Elasticity!C5</f>
        <v>-1.1864350610667748E-2</v>
      </c>
      <c r="C58" s="3">
        <f>Monthly_Elasticity!G5</f>
        <v>-0.74426653443131507</v>
      </c>
      <c r="D58" s="3">
        <f>Monthly_Elasticity!K5</f>
        <v>-1.1334399964876576</v>
      </c>
    </row>
    <row r="59" spans="1:4">
      <c r="A59" s="3" t="s">
        <v>73</v>
      </c>
      <c r="B59" s="3">
        <f>Monthly_Elasticity!C6</f>
        <v>0.33215668767334455</v>
      </c>
      <c r="C59" s="3">
        <f>Monthly_Elasticity!G6</f>
        <v>-3.5068189648219943E-2</v>
      </c>
      <c r="D59" s="3">
        <f>Monthly_Elasticity!K6</f>
        <v>0.24694927706994066</v>
      </c>
    </row>
    <row r="60" spans="1:4">
      <c r="A60" s="3" t="s">
        <v>74</v>
      </c>
      <c r="B60" s="3">
        <f>Monthly_Elasticity!C7</f>
        <v>0.97573944988174854</v>
      </c>
      <c r="C60" s="3">
        <f>Monthly_Elasticity!G7</f>
        <v>1.0449246704671662</v>
      </c>
      <c r="D60" s="3">
        <f>Monthly_Elasticity!K7</f>
        <v>0.86638877364057354</v>
      </c>
    </row>
    <row r="61" spans="1:4">
      <c r="A61" s="3" t="s">
        <v>75</v>
      </c>
      <c r="B61" s="3">
        <f>Monthly_Elasticity!C8</f>
        <v>22.930942458540031</v>
      </c>
      <c r="C61" s="3">
        <f>Monthly_Elasticity!G8</f>
        <v>3.6056569577969237</v>
      </c>
      <c r="D61" s="3">
        <f>Monthly_Elasticity!K8</f>
        <v>9.1712357514999994</v>
      </c>
    </row>
    <row r="62" spans="1:4">
      <c r="A62" s="3" t="s">
        <v>76</v>
      </c>
      <c r="B62" s="3">
        <f>Monthly_Elasticity!C9</f>
        <v>-2.6283104522449654</v>
      </c>
      <c r="C62" s="3">
        <f>Monthly_Elasticity!G9</f>
        <v>9.532437977528188</v>
      </c>
      <c r="D62" s="3">
        <f>Monthly_Elasticity!K9</f>
        <v>-28.46527786303756</v>
      </c>
    </row>
    <row r="63" spans="1:4">
      <c r="A63" s="3" t="s">
        <v>77</v>
      </c>
      <c r="B63" s="3">
        <f>Monthly_Elasticity!C10</f>
        <v>-0.19472407587993135</v>
      </c>
      <c r="C63" s="3">
        <f>Monthly_Elasticity!G10</f>
        <v>-9.8791044245133998E-3</v>
      </c>
      <c r="D63" s="3">
        <f>Monthly_Elasticity!K10</f>
        <v>-1.9321076946283615</v>
      </c>
    </row>
    <row r="64" spans="1:4">
      <c r="A64" s="3" t="s">
        <v>78</v>
      </c>
      <c r="B64" s="3">
        <f>Monthly_Elasticity!C11</f>
        <v>9.8935343275347726E-2</v>
      </c>
      <c r="C64" s="3">
        <f>Monthly_Elasticity!G11</f>
        <v>-0.18662991443580193</v>
      </c>
      <c r="D64" s="3">
        <f>Monthly_Elasticity!K11</f>
        <v>-0.18221220240079358</v>
      </c>
    </row>
    <row r="65" spans="1:4">
      <c r="A65" s="3" t="s">
        <v>79</v>
      </c>
      <c r="B65" s="3">
        <f>Monthly_Elasticity!C12</f>
        <v>2.2513233012130223</v>
      </c>
      <c r="C65" s="3">
        <f>Monthly_Elasticity!G12</f>
        <v>1.2571328075834474</v>
      </c>
      <c r="D65" s="3">
        <f>Monthly_Elasticity!K12</f>
        <v>4.5304238971545505</v>
      </c>
    </row>
    <row r="66" spans="1:4">
      <c r="A66" s="3" t="s">
        <v>80</v>
      </c>
      <c r="B66" s="3">
        <f>Monthly_Elasticity!C13</f>
        <v>-0.97069624800173249</v>
      </c>
      <c r="C66" s="3">
        <f>Monthly_Elasticity!G13</f>
        <v>-0.66169661441078986</v>
      </c>
      <c r="D66" s="3">
        <f>Monthly_Elasticity!K13</f>
        <v>-0.51767045535715639</v>
      </c>
    </row>
    <row r="67" spans="1:4">
      <c r="A67" s="3" t="s">
        <v>81</v>
      </c>
      <c r="B67" s="3">
        <f>Monthly_Elasticity!C14</f>
        <v>4.8864940765242402</v>
      </c>
      <c r="C67" s="3">
        <f>Monthly_Elasticity!G14</f>
        <v>2.3451762652653159</v>
      </c>
      <c r="D67" s="3">
        <f>Monthly_Elasticity!K14</f>
        <v>0.16902230915390279</v>
      </c>
    </row>
    <row r="68" spans="1:4">
      <c r="A68" s="3" t="s">
        <v>82</v>
      </c>
      <c r="B68" s="3">
        <f>Monthly_Elasticity!C15</f>
        <v>-217.81533274089</v>
      </c>
      <c r="C68" s="3">
        <f>Monthly_Elasticity!G15</f>
        <v>11.692287036948288</v>
      </c>
      <c r="D68" s="3">
        <f>Monthly_Elasticity!K15</f>
        <v>10.580758642684707</v>
      </c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 ht="30">
      <c r="A71" s="4" t="s">
        <v>46</v>
      </c>
      <c r="B71" s="4" t="s">
        <v>105</v>
      </c>
      <c r="C71" s="4" t="s">
        <v>110</v>
      </c>
      <c r="D71" s="4" t="s">
        <v>115</v>
      </c>
    </row>
    <row r="72" spans="1:4">
      <c r="A72" s="3" t="s">
        <v>71</v>
      </c>
      <c r="B72" s="3">
        <f>Monthly_Elasticity!D4</f>
        <v>0</v>
      </c>
      <c r="C72" s="3">
        <f>Monthly_Elasticity!H4</f>
        <v>0</v>
      </c>
      <c r="D72" s="3">
        <f>Monthly_Elasticity!L4</f>
        <v>0</v>
      </c>
    </row>
    <row r="73" spans="1:4">
      <c r="A73" s="3" t="s">
        <v>72</v>
      </c>
      <c r="B73" s="3">
        <f>Monthly_Elasticity!D5</f>
        <v>-1.1864350610667748E-2</v>
      </c>
      <c r="C73" s="3">
        <f>Monthly_Elasticity!H5</f>
        <v>-0.69161921486451228</v>
      </c>
      <c r="D73" s="3">
        <f>Monthly_Elasticity!L5</f>
        <v>-1.1925347821163763</v>
      </c>
    </row>
    <row r="74" spans="1:4">
      <c r="A74" s="3" t="s">
        <v>73</v>
      </c>
      <c r="B74" s="3">
        <f>Monthly_Elasticity!D6</f>
        <v>0.33215668767334455</v>
      </c>
      <c r="C74" s="3">
        <f>Monthly_Elasticity!H6</f>
        <v>0.16949114471340915</v>
      </c>
      <c r="D74" s="3">
        <f>Monthly_Elasticity!L6</f>
        <v>0.44039092202117491</v>
      </c>
    </row>
    <row r="75" spans="1:4">
      <c r="A75" s="3" t="s">
        <v>74</v>
      </c>
      <c r="B75" s="3">
        <f>Monthly_Elasticity!D7</f>
        <v>0.97573944988174854</v>
      </c>
      <c r="C75" s="3">
        <f>Monthly_Elasticity!H7</f>
        <v>1.0752286320989972</v>
      </c>
      <c r="D75" s="3">
        <f>Monthly_Elasticity!L7</f>
        <v>1.0130246141278374</v>
      </c>
    </row>
    <row r="76" spans="1:4">
      <c r="A76" s="3" t="s">
        <v>75</v>
      </c>
      <c r="B76" s="3">
        <f>Monthly_Elasticity!D8</f>
        <v>22.930942458540031</v>
      </c>
      <c r="C76" s="3">
        <f>Monthly_Elasticity!H8</f>
        <v>3.4432806347861562</v>
      </c>
      <c r="D76" s="3">
        <f>Monthly_Elasticity!L8</f>
        <v>7.282911631234696</v>
      </c>
    </row>
    <row r="77" spans="1:4">
      <c r="A77" s="3" t="s">
        <v>76</v>
      </c>
      <c r="B77" s="3">
        <f>Monthly_Elasticity!D9</f>
        <v>-2.6283104522449654</v>
      </c>
      <c r="C77" s="3">
        <f>Monthly_Elasticity!H9</f>
        <v>-6.5997944094929144</v>
      </c>
      <c r="D77" s="3">
        <f>Monthly_Elasticity!L9</f>
        <v>18.707815474642384</v>
      </c>
    </row>
    <row r="78" spans="1:4">
      <c r="A78" s="3" t="s">
        <v>77</v>
      </c>
      <c r="B78" s="3">
        <f>Monthly_Elasticity!D10</f>
        <v>-0.19472407587993135</v>
      </c>
      <c r="C78" s="3">
        <f>Monthly_Elasticity!H10</f>
        <v>-3.066147763199115E-2</v>
      </c>
      <c r="D78" s="3">
        <f>Monthly_Elasticity!L10</f>
        <v>-0.42708408043355417</v>
      </c>
    </row>
    <row r="79" spans="1:4">
      <c r="A79" s="3" t="s">
        <v>78</v>
      </c>
      <c r="B79" s="3">
        <f>Monthly_Elasticity!D11</f>
        <v>9.8935343275347726E-2</v>
      </c>
      <c r="C79" s="3">
        <f>Monthly_Elasticity!H11</f>
        <v>-0.14557328100959846</v>
      </c>
      <c r="D79" s="3">
        <f>Monthly_Elasticity!L11</f>
        <v>0.41337011524552814</v>
      </c>
    </row>
    <row r="80" spans="1:4">
      <c r="A80" s="3" t="s">
        <v>79</v>
      </c>
      <c r="B80" s="3">
        <f>Monthly_Elasticity!D12</f>
        <v>2.2513233012130223</v>
      </c>
      <c r="C80" s="3">
        <f>Monthly_Elasticity!H12</f>
        <v>1.4562915823385714</v>
      </c>
      <c r="D80" s="3">
        <f>Monthly_Elasticity!L12</f>
        <v>5.8240285198931874</v>
      </c>
    </row>
    <row r="81" spans="1:4">
      <c r="A81" s="3" t="s">
        <v>80</v>
      </c>
      <c r="B81" s="3">
        <f>Monthly_Elasticity!D13</f>
        <v>-0.97069624800173249</v>
      </c>
      <c r="C81" s="3">
        <f>Monthly_Elasticity!H13</f>
        <v>-0.78045327995074787</v>
      </c>
      <c r="D81" s="3">
        <f>Monthly_Elasticity!L13</f>
        <v>-0.3097527203529733</v>
      </c>
    </row>
    <row r="82" spans="1:4">
      <c r="A82" s="3" t="s">
        <v>81</v>
      </c>
      <c r="B82" s="3">
        <f>Monthly_Elasticity!D14</f>
        <v>4.8864940765242402</v>
      </c>
      <c r="C82" s="3">
        <f>Monthly_Elasticity!H14</f>
        <v>2.1464105194889984</v>
      </c>
      <c r="D82" s="3">
        <f>Monthly_Elasticity!L14</f>
        <v>-1.339388042341747</v>
      </c>
    </row>
    <row r="83" spans="1:4">
      <c r="A83" s="3" t="s">
        <v>82</v>
      </c>
      <c r="B83" s="3">
        <f>Monthly_Elasticity!D15</f>
        <v>-217.81533274089</v>
      </c>
      <c r="C83" s="3">
        <f>Monthly_Elasticity!H15</f>
        <v>8.7160357005070619</v>
      </c>
      <c r="D83" s="3">
        <f>Monthly_Elasticity!L15</f>
        <v>10.338555618681511</v>
      </c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 ht="30">
      <c r="A86" s="4" t="s">
        <v>46</v>
      </c>
      <c r="B86" s="4" t="s">
        <v>106</v>
      </c>
      <c r="C86" s="4" t="s">
        <v>111</v>
      </c>
      <c r="D86" s="4" t="s">
        <v>116</v>
      </c>
    </row>
    <row r="87" spans="1:4">
      <c r="A87" s="3" t="s">
        <v>71</v>
      </c>
      <c r="B87" s="3">
        <f>Monthly_Elasticity!E4</f>
        <v>0</v>
      </c>
      <c r="C87" s="3">
        <f>Monthly_Elasticity!I4</f>
        <v>0</v>
      </c>
      <c r="D87" s="3">
        <f>Monthly_Elasticity!M4</f>
        <v>0</v>
      </c>
    </row>
    <row r="88" spans="1:4">
      <c r="A88" s="3" t="s">
        <v>72</v>
      </c>
      <c r="B88" s="3">
        <f>Monthly_Elasticity!E5</f>
        <v>-1.1864350610667748E-2</v>
      </c>
      <c r="C88" s="3">
        <f>Monthly_Elasticity!I5</f>
        <v>-0.65353707892900237</v>
      </c>
      <c r="D88" s="3">
        <f>Monthly_Elasticity!M5</f>
        <v>-1.3252386047119773</v>
      </c>
    </row>
    <row r="89" spans="1:4">
      <c r="A89" s="3" t="s">
        <v>73</v>
      </c>
      <c r="B89" s="3">
        <f>Monthly_Elasticity!E6</f>
        <v>0.33215668767334455</v>
      </c>
      <c r="C89" s="3">
        <f>Monthly_Elasticity!I6</f>
        <v>0.21898022154178082</v>
      </c>
      <c r="D89" s="3">
        <f>Monthly_Elasticity!M6</f>
        <v>0.34314399878256491</v>
      </c>
    </row>
    <row r="90" spans="1:4">
      <c r="A90" s="3" t="s">
        <v>74</v>
      </c>
      <c r="B90" s="3">
        <f>Monthly_Elasticity!E7</f>
        <v>0.97573944988174854</v>
      </c>
      <c r="C90" s="3">
        <f>Monthly_Elasticity!I7</f>
        <v>1.0824175415960855</v>
      </c>
      <c r="D90" s="3">
        <f>Monthly_Elasticity!M7</f>
        <v>1.135524646625873</v>
      </c>
    </row>
    <row r="91" spans="1:4">
      <c r="A91" s="3" t="s">
        <v>75</v>
      </c>
      <c r="B91" s="3">
        <f>Monthly_Elasticity!E8</f>
        <v>22.930942458540031</v>
      </c>
      <c r="C91" s="3">
        <f>Monthly_Elasticity!I8</f>
        <v>5.0876930831099978</v>
      </c>
      <c r="D91" s="3">
        <f>Monthly_Elasticity!M8</f>
        <v>2.9668857761694682</v>
      </c>
    </row>
    <row r="92" spans="1:4">
      <c r="A92" s="3" t="s">
        <v>76</v>
      </c>
      <c r="B92" s="3">
        <f>Monthly_Elasticity!E9</f>
        <v>-2.6283104522449654</v>
      </c>
      <c r="C92" s="3">
        <f>Monthly_Elasticity!I9</f>
        <v>-1.7308370583444628</v>
      </c>
      <c r="D92" s="3">
        <f>Monthly_Elasticity!M9</f>
        <v>-0.88276979346401063</v>
      </c>
    </row>
    <row r="93" spans="1:4">
      <c r="A93" s="3" t="s">
        <v>77</v>
      </c>
      <c r="B93" s="3">
        <f>Monthly_Elasticity!E10</f>
        <v>-0.19472407587993135</v>
      </c>
      <c r="C93" s="3">
        <f>Monthly_Elasticity!I10</f>
        <v>8.3946460319894393E-3</v>
      </c>
      <c r="D93" s="3">
        <f>Monthly_Elasticity!M10</f>
        <v>0.15375854609292183</v>
      </c>
    </row>
    <row r="94" spans="1:4">
      <c r="A94" s="3" t="s">
        <v>78</v>
      </c>
      <c r="B94" s="3">
        <f>Monthly_Elasticity!E11</f>
        <v>9.8935343275347726E-2</v>
      </c>
      <c r="C94" s="3">
        <f>Monthly_Elasticity!I11</f>
        <v>-0.14550628575800464</v>
      </c>
      <c r="D94" s="3">
        <f>Monthly_Elasticity!M11</f>
        <v>0.93648032045594076</v>
      </c>
    </row>
    <row r="95" spans="1:4">
      <c r="A95" s="3" t="s">
        <v>79</v>
      </c>
      <c r="B95" s="3">
        <f>Monthly_Elasticity!E12</f>
        <v>2.2513233012130223</v>
      </c>
      <c r="C95" s="3">
        <f>Monthly_Elasticity!I12</f>
        <v>1.5356786275347158</v>
      </c>
      <c r="D95" s="3">
        <f>Monthly_Elasticity!M12</f>
        <v>8.0545592382572906</v>
      </c>
    </row>
    <row r="96" spans="1:4">
      <c r="A96" s="3" t="s">
        <v>80</v>
      </c>
      <c r="B96" s="3">
        <f>Monthly_Elasticity!E13</f>
        <v>-0.97069624800173249</v>
      </c>
      <c r="C96" s="3">
        <f>Monthly_Elasticity!I13</f>
        <v>-0.74430469155668488</v>
      </c>
      <c r="D96" s="3">
        <f>Monthly_Elasticity!M13</f>
        <v>-0.26720140282614468</v>
      </c>
    </row>
    <row r="97" spans="1:4">
      <c r="A97" s="3" t="s">
        <v>81</v>
      </c>
      <c r="B97" s="3">
        <f>Monthly_Elasticity!E14</f>
        <v>4.8864940765242402</v>
      </c>
      <c r="C97" s="3">
        <f>Monthly_Elasticity!I14</f>
        <v>2.0147882561383352</v>
      </c>
      <c r="D97" s="3">
        <f>Monthly_Elasticity!M14</f>
        <v>-2.2561958603440071</v>
      </c>
    </row>
    <row r="98" spans="1:4">
      <c r="A98" s="3" t="s">
        <v>82</v>
      </c>
      <c r="B98" s="3">
        <f>Monthly_Elasticity!E15</f>
        <v>-217.81533274089</v>
      </c>
      <c r="C98" s="3">
        <f>Monthly_Elasticity!I15</f>
        <v>9.0218445849937083</v>
      </c>
      <c r="D98" s="3">
        <f>Monthly_Elasticity!M15</f>
        <v>10.502930246858682</v>
      </c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 ht="60">
      <c r="A102" s="4" t="s">
        <v>99</v>
      </c>
      <c r="B102" s="4" t="s">
        <v>121</v>
      </c>
      <c r="C102" s="4" t="s">
        <v>122</v>
      </c>
      <c r="D102" s="3"/>
    </row>
    <row r="103" spans="1:4">
      <c r="A103" s="3" t="s">
        <v>103</v>
      </c>
      <c r="B103" s="3">
        <f>Annual_Elasticity!D4</f>
        <v>0</v>
      </c>
      <c r="C103" s="3">
        <f>Annual_Elasticity!E4</f>
        <v>-17.11521319494458</v>
      </c>
      <c r="D103" s="3"/>
    </row>
    <row r="104" spans="1:4">
      <c r="A104" s="3" t="s">
        <v>104</v>
      </c>
      <c r="B104" s="3">
        <f>Annual_Elasticity!D5</f>
        <v>2.3704508841050402</v>
      </c>
      <c r="C104" s="3">
        <f>Annual_Elasticity!E5</f>
        <v>-17.106003690272466</v>
      </c>
      <c r="D104" s="3"/>
    </row>
    <row r="105" spans="1:4">
      <c r="A105" s="3" t="s">
        <v>105</v>
      </c>
      <c r="B105" s="3">
        <f>Annual_Elasticity!D6</f>
        <v>2.3704508841050402</v>
      </c>
      <c r="C105" s="3">
        <f>Annual_Elasticity!E6</f>
        <v>-17.106003690272466</v>
      </c>
      <c r="D105" s="3"/>
    </row>
    <row r="106" spans="1:4">
      <c r="A106" s="3" t="s">
        <v>106</v>
      </c>
      <c r="B106" s="3">
        <f>Annual_Elasticity!D7</f>
        <v>2.3704508841050402</v>
      </c>
      <c r="C106" s="3">
        <f>Annual_Elasticity!E7</f>
        <v>-17.106003690272466</v>
      </c>
      <c r="D106" s="3"/>
    </row>
    <row r="107" spans="1:4">
      <c r="A107" s="3" t="s">
        <v>108</v>
      </c>
      <c r="B107" s="3">
        <f>Annual_Elasticity!D8</f>
        <v>5.3075179864108124</v>
      </c>
      <c r="C107" s="3">
        <f>Annual_Elasticity!E8</f>
        <v>8.1344544506826999</v>
      </c>
      <c r="D107" s="3"/>
    </row>
    <row r="108" spans="1:4">
      <c r="A108" s="3" t="s">
        <v>109</v>
      </c>
      <c r="B108" s="3">
        <f>Annual_Elasticity!D9</f>
        <v>6.220564395878351</v>
      </c>
      <c r="C108" s="3">
        <f>Annual_Elasticity!E9</f>
        <v>2.575472257024396</v>
      </c>
      <c r="D108" s="3"/>
    </row>
    <row r="109" spans="1:4">
      <c r="A109" s="3" t="s">
        <v>110</v>
      </c>
      <c r="B109" s="3">
        <f>Annual_Elasticity!D10</f>
        <v>6.2376654633159561</v>
      </c>
      <c r="C109" s="3">
        <f>Annual_Elasticity!E10</f>
        <v>0.97116213715132704</v>
      </c>
      <c r="D109" s="3"/>
    </row>
    <row r="110" spans="1:4">
      <c r="A110" s="3" t="s">
        <v>111</v>
      </c>
      <c r="B110" s="3">
        <f>Annual_Elasticity!D11</f>
        <v>6.000705100364125</v>
      </c>
      <c r="C110" s="3">
        <f>Annual_Elasticity!E11</f>
        <v>1.5502653832948876</v>
      </c>
      <c r="D110" s="3"/>
    </row>
    <row r="111" spans="1:4">
      <c r="A111" s="3" t="s">
        <v>113</v>
      </c>
      <c r="B111" s="3">
        <f>Annual_Elasticity!D12</f>
        <v>3.278183183947379</v>
      </c>
      <c r="C111" s="3">
        <f>Annual_Elasticity!E12</f>
        <v>-0.90879082492499086</v>
      </c>
      <c r="D111" s="3"/>
    </row>
    <row r="112" spans="1:4">
      <c r="A112" s="3" t="s">
        <v>114</v>
      </c>
      <c r="B112" s="3">
        <f>Annual_Elasticity!D13</f>
        <v>4.4391141983944804</v>
      </c>
      <c r="C112" s="3">
        <f>Annual_Elasticity!E13</f>
        <v>0.33558484393459459</v>
      </c>
      <c r="D112" s="3"/>
    </row>
    <row r="113" spans="1:4">
      <c r="A113" s="3" t="s">
        <v>115</v>
      </c>
      <c r="B113" s="3">
        <f>Annual_Elasticity!D14</f>
        <v>5.2744757932792039</v>
      </c>
      <c r="C113" s="3">
        <f>Annual_Elasticity!E14</f>
        <v>3.5912158492117729</v>
      </c>
      <c r="D113" s="3"/>
    </row>
    <row r="114" spans="1:4">
      <c r="A114" s="3" t="s">
        <v>116</v>
      </c>
      <c r="B114" s="3">
        <f>Annual_Elasticity!D15</f>
        <v>5.2313703656912089</v>
      </c>
      <c r="C114" s="3">
        <f>Annual_Elasticity!E15</f>
        <v>2.1808154054650783</v>
      </c>
      <c r="D114" s="3"/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Monthly_Aggregates</vt:lpstr>
      <vt:lpstr>Monthly_Elasticity</vt:lpstr>
      <vt:lpstr>Annual_Aggregates</vt:lpstr>
      <vt:lpstr>Annual_Elasticity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2026-07-26T13:14:38Z</dcterms:created>
  <dcterms:modified xsi:type="dcterms:W3CDTF">2026-07-26T13:14:38Z</dcterms:modified>
</cp:coreProperties>
</file>