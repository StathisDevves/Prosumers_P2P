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New Prosumer Study/OUTPUT/ALL STRATEGIES/Output_EQ1_EQ32_3Strategies_4Batteries_FINAL/"/>
    </mc:Choice>
  </mc:AlternateContent>
  <xr:revisionPtr revIDLastSave="0" documentId="8_{0B53FB7C-8DDA-8245-8A06-DAF82BACF66A}" xr6:coauthVersionLast="36" xr6:coauthVersionMax="36" xr10:uidLastSave="{00000000-0000-0000-0000-000000000000}"/>
  <bookViews>
    <workbookView xWindow="0" yWindow="500" windowWidth="28800" windowHeight="16360" activeTab="1" xr2:uid="{00000000-000D-0000-FFFF-FFFF00000000}"/>
  </bookViews>
  <sheets>
    <sheet name="Monthly_PS_to_grid" sheetId="1" r:id="rId1"/>
    <sheet name="PS_to_grid_Charts" sheetId="2" r:id="rId2"/>
  </sheets>
  <calcPr calcId="181029"/>
</workbook>
</file>

<file path=xl/calcChain.xml><?xml version="1.0" encoding="utf-8"?>
<calcChain xmlns="http://schemas.openxmlformats.org/spreadsheetml/2006/main">
  <c r="D66" i="2" l="1"/>
  <c r="C66" i="2"/>
  <c r="B66" i="2"/>
  <c r="D65" i="2"/>
  <c r="C65" i="2"/>
  <c r="B65" i="2"/>
  <c r="D64" i="2"/>
  <c r="C64" i="2"/>
  <c r="B64" i="2"/>
  <c r="D63" i="2"/>
  <c r="C63" i="2"/>
  <c r="B63" i="2"/>
  <c r="D62" i="2"/>
  <c r="C62" i="2"/>
  <c r="B62" i="2"/>
  <c r="D61" i="2"/>
  <c r="C61" i="2"/>
  <c r="B61" i="2"/>
  <c r="D60" i="2"/>
  <c r="C60" i="2"/>
  <c r="B60" i="2"/>
  <c r="D59" i="2"/>
  <c r="C59" i="2"/>
  <c r="B59" i="2"/>
  <c r="D58" i="2"/>
  <c r="C58" i="2"/>
  <c r="B58" i="2"/>
  <c r="D57" i="2"/>
  <c r="C57" i="2"/>
  <c r="B57" i="2"/>
  <c r="D56" i="2"/>
  <c r="C56" i="2"/>
  <c r="B56" i="2"/>
  <c r="D55" i="2"/>
  <c r="C55" i="2"/>
  <c r="B55" i="2"/>
  <c r="K49" i="2"/>
  <c r="J49" i="2"/>
  <c r="I49" i="2"/>
  <c r="D49" i="2"/>
  <c r="C49" i="2"/>
  <c r="B49" i="2"/>
  <c r="K48" i="2"/>
  <c r="J48" i="2"/>
  <c r="I48" i="2"/>
  <c r="D48" i="2"/>
  <c r="C48" i="2"/>
  <c r="B48" i="2"/>
  <c r="K47" i="2"/>
  <c r="J47" i="2"/>
  <c r="I47" i="2"/>
  <c r="D47" i="2"/>
  <c r="C47" i="2"/>
  <c r="B47" i="2"/>
  <c r="K46" i="2"/>
  <c r="J46" i="2"/>
  <c r="I46" i="2"/>
  <c r="D46" i="2"/>
  <c r="C46" i="2"/>
  <c r="B46" i="2"/>
  <c r="K45" i="2"/>
  <c r="J45" i="2"/>
  <c r="I45" i="2"/>
  <c r="D45" i="2"/>
  <c r="C45" i="2"/>
  <c r="B45" i="2"/>
  <c r="K44" i="2"/>
  <c r="J44" i="2"/>
  <c r="I44" i="2"/>
  <c r="D44" i="2"/>
  <c r="C44" i="2"/>
  <c r="B44" i="2"/>
  <c r="K43" i="2"/>
  <c r="J43" i="2"/>
  <c r="I43" i="2"/>
  <c r="D43" i="2"/>
  <c r="C43" i="2"/>
  <c r="B43" i="2"/>
  <c r="K42" i="2"/>
  <c r="J42" i="2"/>
  <c r="I42" i="2"/>
  <c r="D42" i="2"/>
  <c r="C42" i="2"/>
  <c r="B42" i="2"/>
  <c r="K41" i="2"/>
  <c r="J41" i="2"/>
  <c r="I41" i="2"/>
  <c r="D41" i="2"/>
  <c r="C41" i="2"/>
  <c r="B41" i="2"/>
  <c r="K40" i="2"/>
  <c r="J40" i="2"/>
  <c r="I40" i="2"/>
  <c r="D40" i="2"/>
  <c r="C40" i="2"/>
  <c r="B40" i="2"/>
  <c r="K39" i="2"/>
  <c r="J39" i="2"/>
  <c r="I39" i="2"/>
  <c r="D39" i="2"/>
  <c r="C39" i="2"/>
  <c r="B39" i="2"/>
  <c r="K38" i="2"/>
  <c r="J38" i="2"/>
  <c r="I38" i="2"/>
  <c r="D38" i="2"/>
  <c r="C38" i="2"/>
  <c r="B38" i="2"/>
  <c r="K32" i="2"/>
  <c r="J32" i="2"/>
  <c r="I32" i="2"/>
  <c r="E32" i="2"/>
  <c r="D32" i="2"/>
  <c r="C32" i="2"/>
  <c r="B32" i="2"/>
  <c r="K31" i="2"/>
  <c r="J31" i="2"/>
  <c r="I31" i="2"/>
  <c r="E31" i="2"/>
  <c r="D31" i="2"/>
  <c r="C31" i="2"/>
  <c r="B31" i="2"/>
  <c r="K30" i="2"/>
  <c r="J30" i="2"/>
  <c r="I30" i="2"/>
  <c r="E30" i="2"/>
  <c r="D30" i="2"/>
  <c r="C30" i="2"/>
  <c r="B30" i="2"/>
  <c r="K29" i="2"/>
  <c r="J29" i="2"/>
  <c r="I29" i="2"/>
  <c r="E29" i="2"/>
  <c r="D29" i="2"/>
  <c r="C29" i="2"/>
  <c r="B29" i="2"/>
  <c r="K28" i="2"/>
  <c r="J28" i="2"/>
  <c r="I28" i="2"/>
  <c r="E28" i="2"/>
  <c r="D28" i="2"/>
  <c r="C28" i="2"/>
  <c r="B28" i="2"/>
  <c r="K27" i="2"/>
  <c r="J27" i="2"/>
  <c r="I27" i="2"/>
  <c r="E27" i="2"/>
  <c r="D27" i="2"/>
  <c r="C27" i="2"/>
  <c r="B27" i="2"/>
  <c r="K26" i="2"/>
  <c r="J26" i="2"/>
  <c r="I26" i="2"/>
  <c r="E26" i="2"/>
  <c r="D26" i="2"/>
  <c r="C26" i="2"/>
  <c r="B26" i="2"/>
  <c r="K25" i="2"/>
  <c r="J25" i="2"/>
  <c r="I25" i="2"/>
  <c r="E25" i="2"/>
  <c r="D25" i="2"/>
  <c r="C25" i="2"/>
  <c r="B25" i="2"/>
  <c r="K24" i="2"/>
  <c r="J24" i="2"/>
  <c r="I24" i="2"/>
  <c r="E24" i="2"/>
  <c r="D24" i="2"/>
  <c r="C24" i="2"/>
  <c r="B24" i="2"/>
  <c r="K23" i="2"/>
  <c r="J23" i="2"/>
  <c r="I23" i="2"/>
  <c r="E23" i="2"/>
  <c r="D23" i="2"/>
  <c r="C23" i="2"/>
  <c r="B23" i="2"/>
  <c r="K22" i="2"/>
  <c r="J22" i="2"/>
  <c r="I22" i="2"/>
  <c r="E22" i="2"/>
  <c r="D22" i="2"/>
  <c r="C22" i="2"/>
  <c r="B22" i="2"/>
  <c r="K21" i="2"/>
  <c r="J21" i="2"/>
  <c r="I21" i="2"/>
  <c r="E21" i="2"/>
  <c r="D21" i="2"/>
  <c r="C21" i="2"/>
  <c r="B21" i="2"/>
  <c r="L15" i="2"/>
  <c r="K15" i="2"/>
  <c r="J15" i="2"/>
  <c r="I15" i="2"/>
  <c r="E15" i="2"/>
  <c r="D15" i="2"/>
  <c r="C15" i="2"/>
  <c r="B15" i="2"/>
  <c r="L14" i="2"/>
  <c r="K14" i="2"/>
  <c r="J14" i="2"/>
  <c r="I14" i="2"/>
  <c r="E14" i="2"/>
  <c r="D14" i="2"/>
  <c r="C14" i="2"/>
  <c r="B14" i="2"/>
  <c r="L13" i="2"/>
  <c r="K13" i="2"/>
  <c r="J13" i="2"/>
  <c r="I13" i="2"/>
  <c r="E13" i="2"/>
  <c r="D13" i="2"/>
  <c r="C13" i="2"/>
  <c r="B13" i="2"/>
  <c r="L12" i="2"/>
  <c r="K12" i="2"/>
  <c r="J12" i="2"/>
  <c r="I12" i="2"/>
  <c r="E12" i="2"/>
  <c r="D12" i="2"/>
  <c r="C12" i="2"/>
  <c r="B12" i="2"/>
  <c r="L11" i="2"/>
  <c r="K11" i="2"/>
  <c r="J11" i="2"/>
  <c r="I11" i="2"/>
  <c r="E11" i="2"/>
  <c r="D11" i="2"/>
  <c r="C11" i="2"/>
  <c r="B11" i="2"/>
  <c r="L10" i="2"/>
  <c r="K10" i="2"/>
  <c r="J10" i="2"/>
  <c r="I10" i="2"/>
  <c r="E10" i="2"/>
  <c r="D10" i="2"/>
  <c r="C10" i="2"/>
  <c r="B10" i="2"/>
  <c r="L9" i="2"/>
  <c r="K9" i="2"/>
  <c r="J9" i="2"/>
  <c r="I9" i="2"/>
  <c r="E9" i="2"/>
  <c r="D9" i="2"/>
  <c r="C9" i="2"/>
  <c r="B9" i="2"/>
  <c r="L8" i="2"/>
  <c r="K8" i="2"/>
  <c r="J8" i="2"/>
  <c r="I8" i="2"/>
  <c r="E8" i="2"/>
  <c r="D8" i="2"/>
  <c r="C8" i="2"/>
  <c r="B8" i="2"/>
  <c r="L7" i="2"/>
  <c r="K7" i="2"/>
  <c r="J7" i="2"/>
  <c r="I7" i="2"/>
  <c r="E7" i="2"/>
  <c r="D7" i="2"/>
  <c r="C7" i="2"/>
  <c r="B7" i="2"/>
  <c r="L6" i="2"/>
  <c r="K6" i="2"/>
  <c r="J6" i="2"/>
  <c r="I6" i="2"/>
  <c r="E6" i="2"/>
  <c r="D6" i="2"/>
  <c r="C6" i="2"/>
  <c r="B6" i="2"/>
  <c r="L5" i="2"/>
  <c r="K5" i="2"/>
  <c r="J5" i="2"/>
  <c r="I5" i="2"/>
  <c r="E5" i="2"/>
  <c r="D5" i="2"/>
  <c r="C5" i="2"/>
  <c r="B5" i="2"/>
  <c r="L4" i="2"/>
  <c r="K4" i="2"/>
  <c r="J4" i="2"/>
  <c r="I4" i="2"/>
  <c r="E4" i="2"/>
  <c r="D4" i="2"/>
  <c r="C4" i="2"/>
  <c r="B4" i="2"/>
</calcChain>
</file>

<file path=xl/sharedStrings.xml><?xml version="1.0" encoding="utf-8"?>
<sst xmlns="http://schemas.openxmlformats.org/spreadsheetml/2006/main" count="142" uniqueCount="27">
  <si>
    <t>Month</t>
  </si>
  <si>
    <t>A-10</t>
  </si>
  <si>
    <t>A-15</t>
  </si>
  <si>
    <t>A-20</t>
  </si>
  <si>
    <t>A-30</t>
  </si>
  <si>
    <t>B-10</t>
  </si>
  <si>
    <t>B-15</t>
  </si>
  <si>
    <t>B-20</t>
  </si>
  <si>
    <t>B-30</t>
  </si>
  <si>
    <t>C-10</t>
  </si>
  <si>
    <t>C-15</t>
  </si>
  <si>
    <t>C-20</t>
  </si>
  <si>
    <t>C-30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</si>
  <si>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</si>
  <si>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</si>
  <si>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</si>
  <si>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</si>
  <si>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</si>
  <si>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</si>
  <si>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</si>
  <si>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</si>
  <si>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</si>
  <si>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</si>
  <si>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</si>
  <si>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</si>
  <si>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</si>
  <si>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Monthly PS_to_grid (€): Comparisons by Strategy and Battery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</si>
</sst>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0.00"/>
  </numFmts>
  <fonts count="3" x14ac:knownFonts="1">
    <font>
      <sz val="11"/>
      <color theme="1"/>
      <name val="Calibri"/>
    </font>
    <font>
      <b/>
      <sz val="15"/>
      <color rgb="FFFFFFFF"/>
      <name val="Calibri"/>
    </font>
    <font>
      <b/>
      <sz val="11"/>
      <color rgb="FF17365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Strategy A: Monthly PS_to_grid by Battery Capacity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</c:v>
          </c:tx>
          <c:cat>
            <c:strRef>
              <c:f>PS_to_grid_Charts!$A$4:$A$15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PS_to_grid_Charts!$B$4:$B$15</c:f>
              <c:numCache>
                <c:formatCode>\€#,000</c:formatCode>
                <c:ptCount val="12"/>
                <c:pt idx="0">
                  <c:v>308.63088032078792</c:v>
                </c:pt>
                <c:pt idx="1">
                  <c:v>275.01915244619431</c:v>
                </c:pt>
                <c:pt idx="2">
                  <c:v>289.59177723695069</c:v>
                </c:pt>
                <c:pt idx="3">
                  <c:v>259.59819761870978</c:v>
                </c:pt>
                <c:pt idx="4">
                  <c:v>272.39634731860491</c:v>
                </c:pt>
                <c:pt idx="5">
                  <c:v>249.72783638127851</c:v>
                </c:pt>
                <c:pt idx="6">
                  <c:v>246.94029179222071</c:v>
                </c:pt>
                <c:pt idx="7">
                  <c:v>245.16417806801411</c:v>
                </c:pt>
                <c:pt idx="8">
                  <c:v>259.65066751863498</c:v>
                </c:pt>
                <c:pt idx="9">
                  <c:v>269.79794645070677</c:v>
                </c:pt>
                <c:pt idx="10">
                  <c:v>261.85778302643178</c:v>
                </c:pt>
                <c:pt idx="11">
                  <c:v>303.77261810169722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A8-6041-9025-29F2C6434332}"/>
            </c:ext>
          </c:extLst>
        </c:ser>
        <c:ser>
          <c:idx val="1"/>
          <c:order val="1"/>
          <c:tx>
            <c:v>A-15</c:v>
          </c:tx>
          <c:cat>
            <c:strRef>
              <c:f>PS_to_grid_Charts!$A$4:$A$15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PS_to_grid_Charts!$C$4:$C$15</c:f>
              <c:numCache>
                <c:formatCode>\€#,000</c:formatCode>
                <c:ptCount val="12"/>
                <c:pt idx="0">
                  <c:v>308.65549126827511</c:v>
                </c:pt>
                <c:pt idx="1">
                  <c:v>275.04444365972728</c:v>
                </c:pt>
                <c:pt idx="2">
                  <c:v>289.6201810742254</c:v>
                </c:pt>
                <c:pt idx="3">
                  <c:v>259.62661555645832</c:v>
                </c:pt>
                <c:pt idx="4">
                  <c:v>272.49227328925889</c:v>
                </c:pt>
                <c:pt idx="5">
                  <c:v>249.7562407309193</c:v>
                </c:pt>
                <c:pt idx="6">
                  <c:v>246.96965500396601</c:v>
                </c:pt>
                <c:pt idx="7">
                  <c:v>245.19353145799769</c:v>
                </c:pt>
                <c:pt idx="8">
                  <c:v>259.67908170681528</c:v>
                </c:pt>
                <c:pt idx="9">
                  <c:v>269.84611943837001</c:v>
                </c:pt>
                <c:pt idx="10">
                  <c:v>261.90282158882889</c:v>
                </c:pt>
                <c:pt idx="11">
                  <c:v>303.81740886868272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A8-6041-9025-29F2C6434332}"/>
            </c:ext>
          </c:extLst>
        </c:ser>
        <c:ser>
          <c:idx val="2"/>
          <c:order val="2"/>
          <c:tx>
            <c:v>A-20</c:v>
          </c:tx>
          <c:cat>
            <c:strRef>
              <c:f>PS_to_grid_Charts!$A$4:$A$15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PS_to_grid_Charts!$D$4:$D$15</c:f>
              <c:numCache>
                <c:formatCode>\€#,000</c:formatCode>
                <c:ptCount val="12"/>
                <c:pt idx="0">
                  <c:v>308.67973145345019</c:v>
                </c:pt>
                <c:pt idx="1">
                  <c:v>275.06907221980629</c:v>
                </c:pt>
                <c:pt idx="2">
                  <c:v>289.64858476801692</c:v>
                </c:pt>
                <c:pt idx="3">
                  <c:v>259.65503340714531</c:v>
                </c:pt>
                <c:pt idx="4">
                  <c:v>272.52162844815689</c:v>
                </c:pt>
                <c:pt idx="5">
                  <c:v>249.78464479777759</c:v>
                </c:pt>
                <c:pt idx="6">
                  <c:v>246.9990179708883</c:v>
                </c:pt>
                <c:pt idx="7">
                  <c:v>245.2228847878992</c:v>
                </c:pt>
                <c:pt idx="8">
                  <c:v>259.70749549948079</c:v>
                </c:pt>
                <c:pt idx="9">
                  <c:v>269.89429225453222</c:v>
                </c:pt>
                <c:pt idx="10">
                  <c:v>261.94785995678131</c:v>
                </c:pt>
                <c:pt idx="11">
                  <c:v>303.85964775471012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A8-6041-9025-29F2C6434332}"/>
            </c:ext>
          </c:extLst>
        </c:ser>
        <c:ser>
          <c:idx val="3"/>
          <c:order val="3"/>
          <c:tx>
            <c:v>A-30</c:v>
          </c:tx>
          <c:cat>
            <c:strRef>
              <c:f>PS_to_grid_Charts!$A$4:$A$15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PS_to_grid_Charts!$E$4:$E$15</c:f>
              <c:numCache>
                <c:formatCode>\€#,000</c:formatCode>
                <c:ptCount val="12"/>
                <c:pt idx="0">
                  <c:v>308.72706045824549</c:v>
                </c:pt>
                <c:pt idx="1">
                  <c:v>275.11832881727457</c:v>
                </c:pt>
                <c:pt idx="2">
                  <c:v>289.70539202182812</c:v>
                </c:pt>
                <c:pt idx="3">
                  <c:v>259.71186882461342</c:v>
                </c:pt>
                <c:pt idx="4">
                  <c:v>272.5803386784894</c:v>
                </c:pt>
                <c:pt idx="5">
                  <c:v>249.84145244487999</c:v>
                </c:pt>
                <c:pt idx="6">
                  <c:v>247.0577437889871</c:v>
                </c:pt>
                <c:pt idx="7">
                  <c:v>245.2815907844253</c:v>
                </c:pt>
                <c:pt idx="8">
                  <c:v>259.76432289370882</c:v>
                </c:pt>
                <c:pt idx="9">
                  <c:v>269.99063754767241</c:v>
                </c:pt>
                <c:pt idx="10">
                  <c:v>262.03793603165201</c:v>
                </c:pt>
                <c:pt idx="11">
                  <c:v>303.93990702212619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A8-6041-9025-29F2C6434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825" b="1"/>
                  <a:t>Month (-)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825" b="1"/>
                  <a:t>Monthly PS_to_grid (€)</a:t>
                </a:r>
              </a:p>
            </c:rich>
          </c:tx>
          <c:overlay val="0"/>
        </c:title>
        <c:numFmt formatCode="\€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Strategy B: Monthly PS_to_grid by Battery Capacity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B-10</c:v>
          </c:tx>
          <c:cat>
            <c:strRef>
              <c:f>PS_to_grid_Charts!$H$4:$H$15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PS_to_grid_Charts!$I$4:$I$15</c:f>
              <c:numCache>
                <c:formatCode>\€#,000</c:formatCode>
                <c:ptCount val="12"/>
                <c:pt idx="0">
                  <c:v>301.20137336316662</c:v>
                </c:pt>
                <c:pt idx="1">
                  <c:v>278.34287367373929</c:v>
                </c:pt>
                <c:pt idx="2">
                  <c:v>280.67395490811958</c:v>
                </c:pt>
                <c:pt idx="3">
                  <c:v>248.49604395572399</c:v>
                </c:pt>
                <c:pt idx="4">
                  <c:v>262.59887604588931</c:v>
                </c:pt>
                <c:pt idx="5">
                  <c:v>238.4690906409044</c:v>
                </c:pt>
                <c:pt idx="6">
                  <c:v>238.23313899394461</c:v>
                </c:pt>
                <c:pt idx="7">
                  <c:v>235.87479304642039</c:v>
                </c:pt>
                <c:pt idx="8">
                  <c:v>264.94360234987579</c:v>
                </c:pt>
                <c:pt idx="9">
                  <c:v>279.76751598476022</c:v>
                </c:pt>
                <c:pt idx="10">
                  <c:v>255.7759303181723</c:v>
                </c:pt>
                <c:pt idx="11">
                  <c:v>293.51967595792411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4-7F49-A68C-D20F18850565}"/>
            </c:ext>
          </c:extLst>
        </c:ser>
        <c:ser>
          <c:idx val="1"/>
          <c:order val="1"/>
          <c:tx>
            <c:v>B-15</c:v>
          </c:tx>
          <c:cat>
            <c:strRef>
              <c:f>PS_to_grid_Charts!$H$4:$H$15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PS_to_grid_Charts!$J$4:$J$15</c:f>
              <c:numCache>
                <c:formatCode>\€#,000</c:formatCode>
                <c:ptCount val="12"/>
                <c:pt idx="0">
                  <c:v>293.24619596129071</c:v>
                </c:pt>
                <c:pt idx="1">
                  <c:v>272.41129125366712</c:v>
                </c:pt>
                <c:pt idx="2">
                  <c:v>273.42103601859162</c:v>
                </c:pt>
                <c:pt idx="3">
                  <c:v>241.70853907033481</c:v>
                </c:pt>
                <c:pt idx="4">
                  <c:v>257.54256668515012</c:v>
                </c:pt>
                <c:pt idx="5">
                  <c:v>232.83488339156659</c:v>
                </c:pt>
                <c:pt idx="6">
                  <c:v>230.34773173383101</c:v>
                </c:pt>
                <c:pt idx="7">
                  <c:v>229.76752727996731</c:v>
                </c:pt>
                <c:pt idx="8">
                  <c:v>260.5551188767426</c:v>
                </c:pt>
                <c:pt idx="9">
                  <c:v>273.04773833287447</c:v>
                </c:pt>
                <c:pt idx="10">
                  <c:v>249.8155284730426</c:v>
                </c:pt>
                <c:pt idx="11">
                  <c:v>286.61637197765788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4-7F49-A68C-D20F18850565}"/>
            </c:ext>
          </c:extLst>
        </c:ser>
        <c:ser>
          <c:idx val="2"/>
          <c:order val="2"/>
          <c:tx>
            <c:v>B-20</c:v>
          </c:tx>
          <c:cat>
            <c:strRef>
              <c:f>PS_to_grid_Charts!$H$4:$H$15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PS_to_grid_Charts!$K$4:$K$15</c:f>
              <c:numCache>
                <c:formatCode>\€#,000</c:formatCode>
                <c:ptCount val="12"/>
                <c:pt idx="0">
                  <c:v>283.98570431904528</c:v>
                </c:pt>
                <c:pt idx="1">
                  <c:v>264.09103909087747</c:v>
                </c:pt>
                <c:pt idx="2">
                  <c:v>266.74351190637441</c:v>
                </c:pt>
                <c:pt idx="3">
                  <c:v>234.30167084323821</c:v>
                </c:pt>
                <c:pt idx="4">
                  <c:v>251.03275889103921</c:v>
                </c:pt>
                <c:pt idx="5">
                  <c:v>227.04418059988851</c:v>
                </c:pt>
                <c:pt idx="6">
                  <c:v>222.6794502892744</c:v>
                </c:pt>
                <c:pt idx="7">
                  <c:v>224.42883731494101</c:v>
                </c:pt>
                <c:pt idx="8">
                  <c:v>254.8001583717874</c:v>
                </c:pt>
                <c:pt idx="9">
                  <c:v>266.35708201823888</c:v>
                </c:pt>
                <c:pt idx="10">
                  <c:v>242.98122554745439</c:v>
                </c:pt>
                <c:pt idx="11">
                  <c:v>278.20170069567951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4-7F49-A68C-D20F18850565}"/>
            </c:ext>
          </c:extLst>
        </c:ser>
        <c:ser>
          <c:idx val="3"/>
          <c:order val="3"/>
          <c:tx>
            <c:v>B-30</c:v>
          </c:tx>
          <c:cat>
            <c:strRef>
              <c:f>PS_to_grid_Charts!$H$4:$H$15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PS_to_grid_Charts!$L$4:$L$15</c:f>
              <c:numCache>
                <c:formatCode>\€#,000</c:formatCode>
                <c:ptCount val="12"/>
                <c:pt idx="0">
                  <c:v>267.98079212206738</c:v>
                </c:pt>
                <c:pt idx="1">
                  <c:v>251.11990845182521</c:v>
                </c:pt>
                <c:pt idx="2">
                  <c:v>258.45478968622228</c:v>
                </c:pt>
                <c:pt idx="3">
                  <c:v>222.80721480471399</c:v>
                </c:pt>
                <c:pt idx="4">
                  <c:v>241.8526601908612</c:v>
                </c:pt>
                <c:pt idx="5">
                  <c:v>218.59174188497511</c:v>
                </c:pt>
                <c:pt idx="6">
                  <c:v>211.08959192192731</c:v>
                </c:pt>
                <c:pt idx="7">
                  <c:v>214.990761014284</c:v>
                </c:pt>
                <c:pt idx="8">
                  <c:v>243.6002833773654</c:v>
                </c:pt>
                <c:pt idx="9">
                  <c:v>253.40018102150319</c:v>
                </c:pt>
                <c:pt idx="10">
                  <c:v>231.84001038689959</c:v>
                </c:pt>
                <c:pt idx="11">
                  <c:v>261.61935352272047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4-7F49-A68C-D20F18850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825" b="1"/>
                  <a:t>Month (-)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825" b="1"/>
                  <a:t>Monthly PS_to_grid (€)</a:t>
                </a:r>
              </a:p>
            </c:rich>
          </c:tx>
          <c:overlay val="0"/>
        </c:title>
        <c:numFmt formatCode="\€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Strategy C: Monthly PS_to_grid by Battery Capacity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C-10</c:v>
          </c:tx>
          <c:cat>
            <c:strRef>
              <c:f>PS_to_grid_Charts!$A$21:$A$32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PS_to_grid_Charts!$B$21:$B$32</c:f>
              <c:numCache>
                <c:formatCode>\€#,000</c:formatCode>
                <c:ptCount val="12"/>
                <c:pt idx="0">
                  <c:v>293.29455638187358</c:v>
                </c:pt>
                <c:pt idx="1">
                  <c:v>256.02847216382048</c:v>
                </c:pt>
                <c:pt idx="2">
                  <c:v>270.09539082681948</c:v>
                </c:pt>
                <c:pt idx="3">
                  <c:v>245.56795537761599</c:v>
                </c:pt>
                <c:pt idx="4">
                  <c:v>263.39059151174791</c:v>
                </c:pt>
                <c:pt idx="5">
                  <c:v>239.8833415414289</c:v>
                </c:pt>
                <c:pt idx="6">
                  <c:v>235.19127489550971</c:v>
                </c:pt>
                <c:pt idx="7">
                  <c:v>237.68445959307729</c:v>
                </c:pt>
                <c:pt idx="8">
                  <c:v>236.74852198539011</c:v>
                </c:pt>
                <c:pt idx="9">
                  <c:v>243.02214942574929</c:v>
                </c:pt>
                <c:pt idx="10">
                  <c:v>250.70134184011019</c:v>
                </c:pt>
                <c:pt idx="11">
                  <c:v>296.15477105119419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76-C040-B54B-456CA07AA200}"/>
            </c:ext>
          </c:extLst>
        </c:ser>
        <c:ser>
          <c:idx val="1"/>
          <c:order val="1"/>
          <c:tx>
            <c:v>C-15</c:v>
          </c:tx>
          <c:cat>
            <c:strRef>
              <c:f>PS_to_grid_Charts!$A$21:$A$32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PS_to_grid_Charts!$C$21:$C$32</c:f>
              <c:numCache>
                <c:formatCode>\€#,000</c:formatCode>
                <c:ptCount val="12"/>
                <c:pt idx="0">
                  <c:v>292.88688525105562</c:v>
                </c:pt>
                <c:pt idx="1">
                  <c:v>252.19838097716871</c:v>
                </c:pt>
                <c:pt idx="2">
                  <c:v>270.70135888650799</c:v>
                </c:pt>
                <c:pt idx="3">
                  <c:v>243.27331486082821</c:v>
                </c:pt>
                <c:pt idx="4">
                  <c:v>260.84891247651382</c:v>
                </c:pt>
                <c:pt idx="5">
                  <c:v>237.0474480283722</c:v>
                </c:pt>
                <c:pt idx="6">
                  <c:v>231.04795552912671</c:v>
                </c:pt>
                <c:pt idx="7">
                  <c:v>235.9577241523109</c:v>
                </c:pt>
                <c:pt idx="8">
                  <c:v>246.60572868501251</c:v>
                </c:pt>
                <c:pt idx="9">
                  <c:v>243.98895770521989</c:v>
                </c:pt>
                <c:pt idx="10">
                  <c:v>254.43977204819191</c:v>
                </c:pt>
                <c:pt idx="11">
                  <c:v>296.06682698270782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76-C040-B54B-456CA07AA200}"/>
            </c:ext>
          </c:extLst>
        </c:ser>
        <c:ser>
          <c:idx val="2"/>
          <c:order val="2"/>
          <c:tx>
            <c:v>C-20</c:v>
          </c:tx>
          <c:cat>
            <c:strRef>
              <c:f>PS_to_grid_Charts!$A$21:$A$32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PS_to_grid_Charts!$D$21:$D$32</c:f>
              <c:numCache>
                <c:formatCode>\€#,000</c:formatCode>
                <c:ptCount val="12"/>
                <c:pt idx="0">
                  <c:v>293.69852984301542</c:v>
                </c:pt>
                <c:pt idx="1">
                  <c:v>252.13175927696611</c:v>
                </c:pt>
                <c:pt idx="2">
                  <c:v>280.17633601805181</c:v>
                </c:pt>
                <c:pt idx="3">
                  <c:v>253.53763830162839</c:v>
                </c:pt>
                <c:pt idx="4">
                  <c:v>261.3267767033023</c:v>
                </c:pt>
                <c:pt idx="5">
                  <c:v>238.70593010840719</c:v>
                </c:pt>
                <c:pt idx="6">
                  <c:v>232.76813711373271</c:v>
                </c:pt>
                <c:pt idx="7">
                  <c:v>257.79033585949958</c:v>
                </c:pt>
                <c:pt idx="8">
                  <c:v>257.97614537484611</c:v>
                </c:pt>
                <c:pt idx="9">
                  <c:v>250.36073801591459</c:v>
                </c:pt>
                <c:pt idx="10">
                  <c:v>255.40892755429039</c:v>
                </c:pt>
                <c:pt idx="11">
                  <c:v>296.52803780380418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76-C040-B54B-456CA07AA200}"/>
            </c:ext>
          </c:extLst>
        </c:ser>
        <c:ser>
          <c:idx val="3"/>
          <c:order val="3"/>
          <c:tx>
            <c:v>C-30</c:v>
          </c:tx>
          <c:cat>
            <c:strRef>
              <c:f>PS_to_grid_Charts!$A$21:$A$32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PS_to_grid_Charts!$E$21:$E$32</c:f>
              <c:numCache>
                <c:formatCode>\€#,000</c:formatCode>
                <c:ptCount val="12"/>
                <c:pt idx="0">
                  <c:v>294.92064027850643</c:v>
                </c:pt>
                <c:pt idx="1">
                  <c:v>253.47381650110731</c:v>
                </c:pt>
                <c:pt idx="2">
                  <c:v>278.04561400722588</c:v>
                </c:pt>
                <c:pt idx="3">
                  <c:v>259.29468701465669</c:v>
                </c:pt>
                <c:pt idx="4">
                  <c:v>265.28196045506058</c:v>
                </c:pt>
                <c:pt idx="5">
                  <c:v>242.98402877344901</c:v>
                </c:pt>
                <c:pt idx="6">
                  <c:v>238.47538286590239</c:v>
                </c:pt>
                <c:pt idx="7">
                  <c:v>272.54997881746181</c:v>
                </c:pt>
                <c:pt idx="8">
                  <c:v>260.08752813394813</c:v>
                </c:pt>
                <c:pt idx="9">
                  <c:v>253.94137440478909</c:v>
                </c:pt>
                <c:pt idx="10">
                  <c:v>254.96529927754571</c:v>
                </c:pt>
                <c:pt idx="11">
                  <c:v>295.51562930701562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76-C040-B54B-456CA07AA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825" b="1"/>
                  <a:t>Month (-)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825" b="1"/>
                  <a:t>Monthly PS_to_grid (€)</a:t>
                </a:r>
              </a:p>
            </c:rich>
          </c:tx>
          <c:overlay val="0"/>
        </c:title>
        <c:numFmt formatCode="\€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Battery 10 kWh: Monthly PS_to_grid by Strategy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</c:v>
          </c:tx>
          <c:cat>
            <c:strRef>
              <c:f>PS_to_grid_Charts!$H$21:$H$32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PS_to_grid_Charts!$I$21:$I$32</c:f>
              <c:numCache>
                <c:formatCode>\€#,000</c:formatCode>
                <c:ptCount val="12"/>
                <c:pt idx="0">
                  <c:v>308.63088032078792</c:v>
                </c:pt>
                <c:pt idx="1">
                  <c:v>275.01915244619431</c:v>
                </c:pt>
                <c:pt idx="2">
                  <c:v>289.59177723695069</c:v>
                </c:pt>
                <c:pt idx="3">
                  <c:v>259.59819761870978</c:v>
                </c:pt>
                <c:pt idx="4">
                  <c:v>272.39634731860491</c:v>
                </c:pt>
                <c:pt idx="5">
                  <c:v>249.72783638127851</c:v>
                </c:pt>
                <c:pt idx="6">
                  <c:v>246.94029179222071</c:v>
                </c:pt>
                <c:pt idx="7">
                  <c:v>245.16417806801411</c:v>
                </c:pt>
                <c:pt idx="8">
                  <c:v>259.65066751863498</c:v>
                </c:pt>
                <c:pt idx="9">
                  <c:v>269.79794645070677</c:v>
                </c:pt>
                <c:pt idx="10">
                  <c:v>261.85778302643178</c:v>
                </c:pt>
                <c:pt idx="11">
                  <c:v>303.77261810169722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67-E045-BE3C-38AA5F3609BE}"/>
            </c:ext>
          </c:extLst>
        </c:ser>
        <c:ser>
          <c:idx val="1"/>
          <c:order val="1"/>
          <c:tx>
            <c:v>B-10</c:v>
          </c:tx>
          <c:cat>
            <c:strRef>
              <c:f>PS_to_grid_Charts!$H$21:$H$32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PS_to_grid_Charts!$J$21:$J$32</c:f>
              <c:numCache>
                <c:formatCode>\€#,000</c:formatCode>
                <c:ptCount val="12"/>
                <c:pt idx="0">
                  <c:v>301.20137336316662</c:v>
                </c:pt>
                <c:pt idx="1">
                  <c:v>278.34287367373929</c:v>
                </c:pt>
                <c:pt idx="2">
                  <c:v>280.67395490811958</c:v>
                </c:pt>
                <c:pt idx="3">
                  <c:v>248.49604395572399</c:v>
                </c:pt>
                <c:pt idx="4">
                  <c:v>262.59887604588931</c:v>
                </c:pt>
                <c:pt idx="5">
                  <c:v>238.4690906409044</c:v>
                </c:pt>
                <c:pt idx="6">
                  <c:v>238.23313899394461</c:v>
                </c:pt>
                <c:pt idx="7">
                  <c:v>235.87479304642039</c:v>
                </c:pt>
                <c:pt idx="8">
                  <c:v>264.94360234987579</c:v>
                </c:pt>
                <c:pt idx="9">
                  <c:v>279.76751598476022</c:v>
                </c:pt>
                <c:pt idx="10">
                  <c:v>255.7759303181723</c:v>
                </c:pt>
                <c:pt idx="11">
                  <c:v>293.51967595792411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67-E045-BE3C-38AA5F3609BE}"/>
            </c:ext>
          </c:extLst>
        </c:ser>
        <c:ser>
          <c:idx val="2"/>
          <c:order val="2"/>
          <c:tx>
            <c:v>C-10</c:v>
          </c:tx>
          <c:cat>
            <c:strRef>
              <c:f>PS_to_grid_Charts!$H$21:$H$32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PS_to_grid_Charts!$K$21:$K$32</c:f>
              <c:numCache>
                <c:formatCode>\€#,000</c:formatCode>
                <c:ptCount val="12"/>
                <c:pt idx="0">
                  <c:v>293.29455638187358</c:v>
                </c:pt>
                <c:pt idx="1">
                  <c:v>256.02847216382048</c:v>
                </c:pt>
                <c:pt idx="2">
                  <c:v>270.09539082681948</c:v>
                </c:pt>
                <c:pt idx="3">
                  <c:v>245.56795537761599</c:v>
                </c:pt>
                <c:pt idx="4">
                  <c:v>263.39059151174791</c:v>
                </c:pt>
                <c:pt idx="5">
                  <c:v>239.8833415414289</c:v>
                </c:pt>
                <c:pt idx="6">
                  <c:v>235.19127489550971</c:v>
                </c:pt>
                <c:pt idx="7">
                  <c:v>237.68445959307729</c:v>
                </c:pt>
                <c:pt idx="8">
                  <c:v>236.74852198539011</c:v>
                </c:pt>
                <c:pt idx="9">
                  <c:v>243.02214942574929</c:v>
                </c:pt>
                <c:pt idx="10">
                  <c:v>250.70134184011019</c:v>
                </c:pt>
                <c:pt idx="11">
                  <c:v>296.15477105119419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67-E045-BE3C-38AA5F360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825" b="1"/>
                  <a:t>Month (-)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825" b="1"/>
                  <a:t>Monthly PS_to_grid (€)</a:t>
                </a:r>
              </a:p>
            </c:rich>
          </c:tx>
          <c:overlay val="0"/>
        </c:title>
        <c:numFmt formatCode="\€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Battery 15 kWh: Monthly PS_to_grid by Strategy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A-15</c:v>
          </c:tx>
          <c:cat>
            <c:strRef>
              <c:f>PS_to_grid_Charts!$A$38:$A$49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PS_to_grid_Charts!$B$38:$B$49</c:f>
              <c:numCache>
                <c:formatCode>\€#,000</c:formatCode>
                <c:ptCount val="12"/>
                <c:pt idx="0">
                  <c:v>308.65549126827511</c:v>
                </c:pt>
                <c:pt idx="1">
                  <c:v>275.04444365972728</c:v>
                </c:pt>
                <c:pt idx="2">
                  <c:v>289.6201810742254</c:v>
                </c:pt>
                <c:pt idx="3">
                  <c:v>259.62661555645832</c:v>
                </c:pt>
                <c:pt idx="4">
                  <c:v>272.49227328925889</c:v>
                </c:pt>
                <c:pt idx="5">
                  <c:v>249.7562407309193</c:v>
                </c:pt>
                <c:pt idx="6">
                  <c:v>246.96965500396601</c:v>
                </c:pt>
                <c:pt idx="7">
                  <c:v>245.19353145799769</c:v>
                </c:pt>
                <c:pt idx="8">
                  <c:v>259.67908170681528</c:v>
                </c:pt>
                <c:pt idx="9">
                  <c:v>269.84611943837001</c:v>
                </c:pt>
                <c:pt idx="10">
                  <c:v>261.90282158882889</c:v>
                </c:pt>
                <c:pt idx="11">
                  <c:v>303.81740886868272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A-E04A-9814-A59DF9AF78EB}"/>
            </c:ext>
          </c:extLst>
        </c:ser>
        <c:ser>
          <c:idx val="1"/>
          <c:order val="1"/>
          <c:tx>
            <c:v>B-15</c:v>
          </c:tx>
          <c:cat>
            <c:strRef>
              <c:f>PS_to_grid_Charts!$A$38:$A$49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PS_to_grid_Charts!$C$38:$C$49</c:f>
              <c:numCache>
                <c:formatCode>\€#,000</c:formatCode>
                <c:ptCount val="12"/>
                <c:pt idx="0">
                  <c:v>293.24619596129071</c:v>
                </c:pt>
                <c:pt idx="1">
                  <c:v>272.41129125366712</c:v>
                </c:pt>
                <c:pt idx="2">
                  <c:v>273.42103601859162</c:v>
                </c:pt>
                <c:pt idx="3">
                  <c:v>241.70853907033481</c:v>
                </c:pt>
                <c:pt idx="4">
                  <c:v>257.54256668515012</c:v>
                </c:pt>
                <c:pt idx="5">
                  <c:v>232.83488339156659</c:v>
                </c:pt>
                <c:pt idx="6">
                  <c:v>230.34773173383101</c:v>
                </c:pt>
                <c:pt idx="7">
                  <c:v>229.76752727996731</c:v>
                </c:pt>
                <c:pt idx="8">
                  <c:v>260.5551188767426</c:v>
                </c:pt>
                <c:pt idx="9">
                  <c:v>273.04773833287447</c:v>
                </c:pt>
                <c:pt idx="10">
                  <c:v>249.8155284730426</c:v>
                </c:pt>
                <c:pt idx="11">
                  <c:v>286.61637197765788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3A-E04A-9814-A59DF9AF78EB}"/>
            </c:ext>
          </c:extLst>
        </c:ser>
        <c:ser>
          <c:idx val="2"/>
          <c:order val="2"/>
          <c:tx>
            <c:v>C-15</c:v>
          </c:tx>
          <c:cat>
            <c:strRef>
              <c:f>PS_to_grid_Charts!$A$38:$A$49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PS_to_grid_Charts!$D$38:$D$49</c:f>
              <c:numCache>
                <c:formatCode>\€#,000</c:formatCode>
                <c:ptCount val="12"/>
                <c:pt idx="0">
                  <c:v>292.88688525105562</c:v>
                </c:pt>
                <c:pt idx="1">
                  <c:v>252.19838097716871</c:v>
                </c:pt>
                <c:pt idx="2">
                  <c:v>270.70135888650799</c:v>
                </c:pt>
                <c:pt idx="3">
                  <c:v>243.27331486082821</c:v>
                </c:pt>
                <c:pt idx="4">
                  <c:v>260.84891247651382</c:v>
                </c:pt>
                <c:pt idx="5">
                  <c:v>237.0474480283722</c:v>
                </c:pt>
                <c:pt idx="6">
                  <c:v>231.04795552912671</c:v>
                </c:pt>
                <c:pt idx="7">
                  <c:v>235.9577241523109</c:v>
                </c:pt>
                <c:pt idx="8">
                  <c:v>246.60572868501251</c:v>
                </c:pt>
                <c:pt idx="9">
                  <c:v>243.98895770521989</c:v>
                </c:pt>
                <c:pt idx="10">
                  <c:v>254.43977204819191</c:v>
                </c:pt>
                <c:pt idx="11">
                  <c:v>296.06682698270782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3A-E04A-9814-A59DF9AF7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825" b="1"/>
                  <a:t>Month (-)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825" b="1"/>
                  <a:t>Monthly PS_to_grid (€)</a:t>
                </a:r>
              </a:p>
            </c:rich>
          </c:tx>
          <c:overlay val="0"/>
        </c:title>
        <c:numFmt formatCode="\€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Battery 20 kWh: Monthly PS_to_grid by Strategy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A-20</c:v>
          </c:tx>
          <c:cat>
            <c:strRef>
              <c:f>PS_to_grid_Charts!$H$38:$H$49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PS_to_grid_Charts!$I$38:$I$49</c:f>
              <c:numCache>
                <c:formatCode>\€#,000</c:formatCode>
                <c:ptCount val="12"/>
                <c:pt idx="0">
                  <c:v>308.67973145345019</c:v>
                </c:pt>
                <c:pt idx="1">
                  <c:v>275.06907221980629</c:v>
                </c:pt>
                <c:pt idx="2">
                  <c:v>289.64858476801692</c:v>
                </c:pt>
                <c:pt idx="3">
                  <c:v>259.65503340714531</c:v>
                </c:pt>
                <c:pt idx="4">
                  <c:v>272.52162844815689</c:v>
                </c:pt>
                <c:pt idx="5">
                  <c:v>249.78464479777759</c:v>
                </c:pt>
                <c:pt idx="6">
                  <c:v>246.9990179708883</c:v>
                </c:pt>
                <c:pt idx="7">
                  <c:v>245.2228847878992</c:v>
                </c:pt>
                <c:pt idx="8">
                  <c:v>259.70749549948079</c:v>
                </c:pt>
                <c:pt idx="9">
                  <c:v>269.89429225453222</c:v>
                </c:pt>
                <c:pt idx="10">
                  <c:v>261.94785995678131</c:v>
                </c:pt>
                <c:pt idx="11">
                  <c:v>303.85964775471012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B3-2F4A-9C25-0A14696DC5CA}"/>
            </c:ext>
          </c:extLst>
        </c:ser>
        <c:ser>
          <c:idx val="1"/>
          <c:order val="1"/>
          <c:tx>
            <c:v>B-20</c:v>
          </c:tx>
          <c:cat>
            <c:strRef>
              <c:f>PS_to_grid_Charts!$H$38:$H$49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PS_to_grid_Charts!$J$38:$J$49</c:f>
              <c:numCache>
                <c:formatCode>\€#,000</c:formatCode>
                <c:ptCount val="12"/>
                <c:pt idx="0">
                  <c:v>283.98570431904528</c:v>
                </c:pt>
                <c:pt idx="1">
                  <c:v>264.09103909087747</c:v>
                </c:pt>
                <c:pt idx="2">
                  <c:v>266.74351190637441</c:v>
                </c:pt>
                <c:pt idx="3">
                  <c:v>234.30167084323821</c:v>
                </c:pt>
                <c:pt idx="4">
                  <c:v>251.03275889103921</c:v>
                </c:pt>
                <c:pt idx="5">
                  <c:v>227.04418059988851</c:v>
                </c:pt>
                <c:pt idx="6">
                  <c:v>222.6794502892744</c:v>
                </c:pt>
                <c:pt idx="7">
                  <c:v>224.42883731494101</c:v>
                </c:pt>
                <c:pt idx="8">
                  <c:v>254.8001583717874</c:v>
                </c:pt>
                <c:pt idx="9">
                  <c:v>266.35708201823888</c:v>
                </c:pt>
                <c:pt idx="10">
                  <c:v>242.98122554745439</c:v>
                </c:pt>
                <c:pt idx="11">
                  <c:v>278.20170069567951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B3-2F4A-9C25-0A14696DC5CA}"/>
            </c:ext>
          </c:extLst>
        </c:ser>
        <c:ser>
          <c:idx val="2"/>
          <c:order val="2"/>
          <c:tx>
            <c:v>C-20</c:v>
          </c:tx>
          <c:cat>
            <c:strRef>
              <c:f>PS_to_grid_Charts!$H$38:$H$49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PS_to_grid_Charts!$K$38:$K$49</c:f>
              <c:numCache>
                <c:formatCode>\€#,000</c:formatCode>
                <c:ptCount val="12"/>
                <c:pt idx="0">
                  <c:v>293.69852984301542</c:v>
                </c:pt>
                <c:pt idx="1">
                  <c:v>252.13175927696611</c:v>
                </c:pt>
                <c:pt idx="2">
                  <c:v>280.17633601805181</c:v>
                </c:pt>
                <c:pt idx="3">
                  <c:v>253.53763830162839</c:v>
                </c:pt>
                <c:pt idx="4">
                  <c:v>261.3267767033023</c:v>
                </c:pt>
                <c:pt idx="5">
                  <c:v>238.70593010840719</c:v>
                </c:pt>
                <c:pt idx="6">
                  <c:v>232.76813711373271</c:v>
                </c:pt>
                <c:pt idx="7">
                  <c:v>257.79033585949958</c:v>
                </c:pt>
                <c:pt idx="8">
                  <c:v>257.97614537484611</c:v>
                </c:pt>
                <c:pt idx="9">
                  <c:v>250.36073801591459</c:v>
                </c:pt>
                <c:pt idx="10">
                  <c:v>255.40892755429039</c:v>
                </c:pt>
                <c:pt idx="11">
                  <c:v>296.52803780380418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B3-2F4A-9C25-0A14696DC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825" b="1"/>
                  <a:t>Month (-)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825" b="1"/>
                  <a:t>Monthly PS_to_grid (€)</a:t>
                </a:r>
              </a:p>
            </c:rich>
          </c:tx>
          <c:overlay val="0"/>
        </c:title>
        <c:numFmt formatCode="\€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Battery 30 kWh: Monthly PS_to_grid by Strategy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A-30</c:v>
          </c:tx>
          <c:cat>
            <c:strRef>
              <c:f>PS_to_grid_Charts!$A$55:$A$66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PS_to_grid_Charts!$B$55:$B$66</c:f>
              <c:numCache>
                <c:formatCode>\€#,000</c:formatCode>
                <c:ptCount val="12"/>
                <c:pt idx="0">
                  <c:v>308.72706045824549</c:v>
                </c:pt>
                <c:pt idx="1">
                  <c:v>275.11832881727457</c:v>
                </c:pt>
                <c:pt idx="2">
                  <c:v>289.70539202182812</c:v>
                </c:pt>
                <c:pt idx="3">
                  <c:v>259.71186882461342</c:v>
                </c:pt>
                <c:pt idx="4">
                  <c:v>272.5803386784894</c:v>
                </c:pt>
                <c:pt idx="5">
                  <c:v>249.84145244487999</c:v>
                </c:pt>
                <c:pt idx="6">
                  <c:v>247.0577437889871</c:v>
                </c:pt>
                <c:pt idx="7">
                  <c:v>245.2815907844253</c:v>
                </c:pt>
                <c:pt idx="8">
                  <c:v>259.76432289370882</c:v>
                </c:pt>
                <c:pt idx="9">
                  <c:v>269.99063754767241</c:v>
                </c:pt>
                <c:pt idx="10">
                  <c:v>262.03793603165201</c:v>
                </c:pt>
                <c:pt idx="11">
                  <c:v>303.93990702212619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37-374E-89EA-12E500EEF3FD}"/>
            </c:ext>
          </c:extLst>
        </c:ser>
        <c:ser>
          <c:idx val="1"/>
          <c:order val="1"/>
          <c:tx>
            <c:v>B-30</c:v>
          </c:tx>
          <c:cat>
            <c:strRef>
              <c:f>PS_to_grid_Charts!$A$55:$A$66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PS_to_grid_Charts!$C$55:$C$66</c:f>
              <c:numCache>
                <c:formatCode>\€#,000</c:formatCode>
                <c:ptCount val="12"/>
                <c:pt idx="0">
                  <c:v>267.98079212206738</c:v>
                </c:pt>
                <c:pt idx="1">
                  <c:v>251.11990845182521</c:v>
                </c:pt>
                <c:pt idx="2">
                  <c:v>258.45478968622228</c:v>
                </c:pt>
                <c:pt idx="3">
                  <c:v>222.80721480471399</c:v>
                </c:pt>
                <c:pt idx="4">
                  <c:v>241.8526601908612</c:v>
                </c:pt>
                <c:pt idx="5">
                  <c:v>218.59174188497511</c:v>
                </c:pt>
                <c:pt idx="6">
                  <c:v>211.08959192192731</c:v>
                </c:pt>
                <c:pt idx="7">
                  <c:v>214.990761014284</c:v>
                </c:pt>
                <c:pt idx="8">
                  <c:v>243.6002833773654</c:v>
                </c:pt>
                <c:pt idx="9">
                  <c:v>253.40018102150319</c:v>
                </c:pt>
                <c:pt idx="10">
                  <c:v>231.84001038689959</c:v>
                </c:pt>
                <c:pt idx="11">
                  <c:v>261.61935352272047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37-374E-89EA-12E500EEF3FD}"/>
            </c:ext>
          </c:extLst>
        </c:ser>
        <c:ser>
          <c:idx val="2"/>
          <c:order val="2"/>
          <c:tx>
            <c:v>C-30</c:v>
          </c:tx>
          <c:cat>
            <c:strRef>
              <c:f>PS_to_grid_Charts!$A$55:$A$66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PS_to_grid_Charts!$D$55:$D$66</c:f>
              <c:numCache>
                <c:formatCode>\€#,000</c:formatCode>
                <c:ptCount val="12"/>
                <c:pt idx="0">
                  <c:v>294.92064027850643</c:v>
                </c:pt>
                <c:pt idx="1">
                  <c:v>253.47381650110731</c:v>
                </c:pt>
                <c:pt idx="2">
                  <c:v>278.04561400722588</c:v>
                </c:pt>
                <c:pt idx="3">
                  <c:v>259.29468701465669</c:v>
                </c:pt>
                <c:pt idx="4">
                  <c:v>265.28196045506058</c:v>
                </c:pt>
                <c:pt idx="5">
                  <c:v>242.98402877344901</c:v>
                </c:pt>
                <c:pt idx="6">
                  <c:v>238.47538286590239</c:v>
                </c:pt>
                <c:pt idx="7">
                  <c:v>272.54997881746181</c:v>
                </c:pt>
                <c:pt idx="8">
                  <c:v>260.08752813394813</c:v>
                </c:pt>
                <c:pt idx="9">
                  <c:v>253.94137440478909</c:v>
                </c:pt>
                <c:pt idx="10">
                  <c:v>254.96529927754571</c:v>
                </c:pt>
                <c:pt idx="11">
                  <c:v>295.51562930701562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37-374E-89EA-12E500EEF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825" b="1"/>
                  <a:t>Month (-)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825" b="1"/>
                  <a:t>Monthly PS_to_grid (€)</a:t>
                </a:r>
              </a:p>
            </c:rich>
          </c:tx>
          <c:overlay val="0"/>
        </c:title>
        <c:numFmt formatCode="\€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7</xdr:col>
      <xdr:colOff>0</xdr:colOff>
      <xdr:row>35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14</xdr:col>
      <xdr:colOff>0</xdr:colOff>
      <xdr:row>52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7</xdr:col>
      <xdr:colOff>0</xdr:colOff>
      <xdr:row>69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308.63088032078792</v>
      </c>
      <c r="C2">
        <v>308.65549126827511</v>
      </c>
      <c r="D2">
        <v>308.67973145345019</v>
      </c>
      <c r="E2">
        <v>308.72706045824549</v>
      </c>
      <c r="F2">
        <v>301.20137336316662</v>
      </c>
      <c r="G2">
        <v>293.24619596129071</v>
      </c>
      <c r="H2">
        <v>283.98570431904528</v>
      </c>
      <c r="I2">
        <v>267.98079212206738</v>
      </c>
      <c r="J2">
        <v>293.29455638187358</v>
      </c>
      <c r="K2">
        <v>292.88688525105562</v>
      </c>
      <c r="L2">
        <v>293.69852984301542</v>
      </c>
      <c r="M2">
        <v>294.92064027850643</v>
      </c>
    </row>
    <row r="3" spans="1:13" x14ac:dyDescent="0.2">
      <c r="A3" t="s">
        <v>14</v>
      </c>
      <c r="B3">
        <v>275.01915244619431</v>
      </c>
      <c r="C3">
        <v>275.04444365972728</v>
      </c>
      <c r="D3">
        <v>275.06907221980629</v>
      </c>
      <c r="E3">
        <v>275.11832881727457</v>
      </c>
      <c r="F3">
        <v>278.34287367373929</v>
      </c>
      <c r="G3">
        <v>272.41129125366712</v>
      </c>
      <c r="H3">
        <v>264.09103909087747</v>
      </c>
      <c r="I3">
        <v>251.11990845182521</v>
      </c>
      <c r="J3">
        <v>256.02847216382048</v>
      </c>
      <c r="K3">
        <v>252.19838097716871</v>
      </c>
      <c r="L3">
        <v>252.13175927696611</v>
      </c>
      <c r="M3">
        <v>253.47381650110731</v>
      </c>
    </row>
    <row r="4" spans="1:13" x14ac:dyDescent="0.2">
      <c r="A4" t="s">
        <v>15</v>
      </c>
      <c r="B4">
        <v>289.59177723695069</v>
      </c>
      <c r="C4">
        <v>289.6201810742254</v>
      </c>
      <c r="D4">
        <v>289.64858476801692</v>
      </c>
      <c r="E4">
        <v>289.70539202182812</v>
      </c>
      <c r="F4">
        <v>280.67395490811958</v>
      </c>
      <c r="G4">
        <v>273.42103601859162</v>
      </c>
      <c r="H4">
        <v>266.74351190637441</v>
      </c>
      <c r="I4">
        <v>258.45478968622228</v>
      </c>
      <c r="J4">
        <v>270.09539082681948</v>
      </c>
      <c r="K4">
        <v>270.70135888650799</v>
      </c>
      <c r="L4">
        <v>280.17633601805181</v>
      </c>
      <c r="M4">
        <v>278.04561400722588</v>
      </c>
    </row>
    <row r="5" spans="1:13" x14ac:dyDescent="0.2">
      <c r="A5" t="s">
        <v>16</v>
      </c>
      <c r="B5">
        <v>259.59819761870978</v>
      </c>
      <c r="C5">
        <v>259.62661555645832</v>
      </c>
      <c r="D5">
        <v>259.65503340714531</v>
      </c>
      <c r="E5">
        <v>259.71186882461342</v>
      </c>
      <c r="F5">
        <v>248.49604395572399</v>
      </c>
      <c r="G5">
        <v>241.70853907033481</v>
      </c>
      <c r="H5">
        <v>234.30167084323821</v>
      </c>
      <c r="I5">
        <v>222.80721480471399</v>
      </c>
      <c r="J5">
        <v>245.56795537761599</v>
      </c>
      <c r="K5">
        <v>243.27331486082821</v>
      </c>
      <c r="L5">
        <v>253.53763830162839</v>
      </c>
      <c r="M5">
        <v>259.29468701465669</v>
      </c>
    </row>
    <row r="6" spans="1:13" x14ac:dyDescent="0.2">
      <c r="A6" t="s">
        <v>17</v>
      </c>
      <c r="B6">
        <v>272.39634731860491</v>
      </c>
      <c r="C6">
        <v>272.49227328925889</v>
      </c>
      <c r="D6">
        <v>272.52162844815689</v>
      </c>
      <c r="E6">
        <v>272.5803386784894</v>
      </c>
      <c r="F6">
        <v>262.59887604588931</v>
      </c>
      <c r="G6">
        <v>257.54256668515012</v>
      </c>
      <c r="H6">
        <v>251.03275889103921</v>
      </c>
      <c r="I6">
        <v>241.8526601908612</v>
      </c>
      <c r="J6">
        <v>263.39059151174791</v>
      </c>
      <c r="K6">
        <v>260.84891247651382</v>
      </c>
      <c r="L6">
        <v>261.3267767033023</v>
      </c>
      <c r="M6">
        <v>265.28196045506058</v>
      </c>
    </row>
    <row r="7" spans="1:13" x14ac:dyDescent="0.2">
      <c r="A7" t="s">
        <v>18</v>
      </c>
      <c r="B7">
        <v>249.72783638127851</v>
      </c>
      <c r="C7">
        <v>249.7562407309193</v>
      </c>
      <c r="D7">
        <v>249.78464479777759</v>
      </c>
      <c r="E7">
        <v>249.84145244487999</v>
      </c>
      <c r="F7">
        <v>238.4690906409044</v>
      </c>
      <c r="G7">
        <v>232.83488339156659</v>
      </c>
      <c r="H7">
        <v>227.04418059988851</v>
      </c>
      <c r="I7">
        <v>218.59174188497511</v>
      </c>
      <c r="J7">
        <v>239.8833415414289</v>
      </c>
      <c r="K7">
        <v>237.0474480283722</v>
      </c>
      <c r="L7">
        <v>238.70593010840719</v>
      </c>
      <c r="M7">
        <v>242.98402877344901</v>
      </c>
    </row>
    <row r="8" spans="1:13" x14ac:dyDescent="0.2">
      <c r="A8" t="s">
        <v>19</v>
      </c>
      <c r="B8">
        <v>246.94029179222071</v>
      </c>
      <c r="C8">
        <v>246.96965500396601</v>
      </c>
      <c r="D8">
        <v>246.9990179708883</v>
      </c>
      <c r="E8">
        <v>247.0577437889871</v>
      </c>
      <c r="F8">
        <v>238.23313899394461</v>
      </c>
      <c r="G8">
        <v>230.34773173383101</v>
      </c>
      <c r="H8">
        <v>222.6794502892744</v>
      </c>
      <c r="I8">
        <v>211.08959192192731</v>
      </c>
      <c r="J8">
        <v>235.19127489550971</v>
      </c>
      <c r="K8">
        <v>231.04795552912671</v>
      </c>
      <c r="L8">
        <v>232.76813711373271</v>
      </c>
      <c r="M8">
        <v>238.47538286590239</v>
      </c>
    </row>
    <row r="9" spans="1:13" x14ac:dyDescent="0.2">
      <c r="A9" t="s">
        <v>20</v>
      </c>
      <c r="B9">
        <v>245.16417806801411</v>
      </c>
      <c r="C9">
        <v>245.19353145799769</v>
      </c>
      <c r="D9">
        <v>245.2228847878992</v>
      </c>
      <c r="E9">
        <v>245.2815907844253</v>
      </c>
      <c r="F9">
        <v>235.87479304642039</v>
      </c>
      <c r="G9">
        <v>229.76752727996731</v>
      </c>
      <c r="H9">
        <v>224.42883731494101</v>
      </c>
      <c r="I9">
        <v>214.990761014284</v>
      </c>
      <c r="J9">
        <v>237.68445959307729</v>
      </c>
      <c r="K9">
        <v>235.9577241523109</v>
      </c>
      <c r="L9">
        <v>257.79033585949958</v>
      </c>
      <c r="M9">
        <v>272.54997881746181</v>
      </c>
    </row>
    <row r="10" spans="1:13" x14ac:dyDescent="0.2">
      <c r="A10" t="s">
        <v>21</v>
      </c>
      <c r="B10">
        <v>259.65066751863498</v>
      </c>
      <c r="C10">
        <v>259.67908170681528</v>
      </c>
      <c r="D10">
        <v>259.70749549948079</v>
      </c>
      <c r="E10">
        <v>259.76432289370882</v>
      </c>
      <c r="F10">
        <v>264.94360234987579</v>
      </c>
      <c r="G10">
        <v>260.5551188767426</v>
      </c>
      <c r="H10">
        <v>254.8001583717874</v>
      </c>
      <c r="I10">
        <v>243.6002833773654</v>
      </c>
      <c r="J10">
        <v>236.74852198539011</v>
      </c>
      <c r="K10">
        <v>246.60572868501251</v>
      </c>
      <c r="L10">
        <v>257.97614537484611</v>
      </c>
      <c r="M10">
        <v>260.08752813394813</v>
      </c>
    </row>
    <row r="11" spans="1:13" x14ac:dyDescent="0.2">
      <c r="A11" t="s">
        <v>22</v>
      </c>
      <c r="B11">
        <v>269.79794645070677</v>
      </c>
      <c r="C11">
        <v>269.84611943837001</v>
      </c>
      <c r="D11">
        <v>269.89429225453222</v>
      </c>
      <c r="E11">
        <v>269.99063754767241</v>
      </c>
      <c r="F11">
        <v>279.76751598476022</v>
      </c>
      <c r="G11">
        <v>273.04773833287447</v>
      </c>
      <c r="H11">
        <v>266.35708201823888</v>
      </c>
      <c r="I11">
        <v>253.40018102150319</v>
      </c>
      <c r="J11">
        <v>243.02214942574929</v>
      </c>
      <c r="K11">
        <v>243.98895770521989</v>
      </c>
      <c r="L11">
        <v>250.36073801591459</v>
      </c>
      <c r="M11">
        <v>253.94137440478909</v>
      </c>
    </row>
    <row r="12" spans="1:13" x14ac:dyDescent="0.2">
      <c r="A12" t="s">
        <v>23</v>
      </c>
      <c r="B12">
        <v>261.85778302643178</v>
      </c>
      <c r="C12">
        <v>261.90282158882889</v>
      </c>
      <c r="D12">
        <v>261.94785995678131</v>
      </c>
      <c r="E12">
        <v>262.03793603165201</v>
      </c>
      <c r="F12">
        <v>255.7759303181723</v>
      </c>
      <c r="G12">
        <v>249.8155284730426</v>
      </c>
      <c r="H12">
        <v>242.98122554745439</v>
      </c>
      <c r="I12">
        <v>231.84001038689959</v>
      </c>
      <c r="J12">
        <v>250.70134184011019</v>
      </c>
      <c r="K12">
        <v>254.43977204819191</v>
      </c>
      <c r="L12">
        <v>255.40892755429039</v>
      </c>
      <c r="M12">
        <v>254.96529927754571</v>
      </c>
    </row>
    <row r="13" spans="1:13" x14ac:dyDescent="0.2">
      <c r="A13" t="s">
        <v>24</v>
      </c>
      <c r="B13">
        <v>303.77261810169722</v>
      </c>
      <c r="C13">
        <v>303.81740886868272</v>
      </c>
      <c r="D13">
        <v>303.85964775471012</v>
      </c>
      <c r="E13">
        <v>303.93990702212619</v>
      </c>
      <c r="F13">
        <v>293.51967595792411</v>
      </c>
      <c r="G13">
        <v>286.61637197765788</v>
      </c>
      <c r="H13">
        <v>278.20170069567951</v>
      </c>
      <c r="I13">
        <v>261.61935352272047</v>
      </c>
      <c r="J13">
        <v>296.15477105119419</v>
      </c>
      <c r="K13">
        <v>296.06682698270782</v>
      </c>
      <c r="L13">
        <v>296.52803780380418</v>
      </c>
      <c r="M13">
        <v>295.51562930701562</v>
      </c>
    </row>
    <row r="14" spans="1:13" x14ac:dyDescent="0.2">
      <c r="A14" t="s">
        <v>25</v>
      </c>
      <c r="B14">
        <v>3242.1476762802308</v>
      </c>
      <c r="C14">
        <v>3242.6038636435251</v>
      </c>
      <c r="D14">
        <v>3242.989893318645</v>
      </c>
      <c r="E14">
        <v>3243.7565793139029</v>
      </c>
      <c r="F14">
        <v>3177.8968692386411</v>
      </c>
      <c r="G14">
        <v>3101.3145290547168</v>
      </c>
      <c r="H14">
        <v>3016.6473198878389</v>
      </c>
      <c r="I14">
        <v>2877.3472883853651</v>
      </c>
      <c r="J14">
        <v>3067.7628265943372</v>
      </c>
      <c r="K14">
        <v>3065.0632655830159</v>
      </c>
      <c r="L14">
        <v>3130.409291973458</v>
      </c>
      <c r="M14">
        <v>3169.5359398366691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6"/>
  <sheetViews>
    <sheetView tabSelected="1" topLeftCell="A19" workbookViewId="0">
      <selection activeCell="Q55" sqref="Q55"/>
    </sheetView>
  </sheetViews>
  <sheetFormatPr baseColWidth="10" defaultColWidth="8.83203125" defaultRowHeight="15" x14ac:dyDescent="0.2"/>
  <cols>
    <col min="1" max="14" width="13" customWidth="1"/>
  </cols>
  <sheetData>
    <row r="1" spans="1:14" ht="34.75" customHeight="1" x14ac:dyDescent="0.2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4" ht="1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H3" s="1" t="s">
        <v>0</v>
      </c>
      <c r="I3" s="1" t="s">
        <v>5</v>
      </c>
      <c r="J3" s="1" t="s">
        <v>6</v>
      </c>
      <c r="K3" s="1" t="s">
        <v>7</v>
      </c>
      <c r="L3" s="1" t="s">
        <v>8</v>
      </c>
    </row>
    <row r="4" spans="1:14" x14ac:dyDescent="0.2">
      <c r="A4" t="s">
        <v>13</v>
      </c>
      <c r="B4" s="2">
        <f>Monthly_PS_to_grid!B2</f>
        <v>308.63088032078792</v>
      </c>
      <c r="C4" s="2">
        <f>Monthly_PS_to_grid!C2</f>
        <v>308.65549126827511</v>
      </c>
      <c r="D4" s="2">
        <f>Monthly_PS_to_grid!D2</f>
        <v>308.67973145345019</v>
      </c>
      <c r="E4" s="2">
        <f>Monthly_PS_to_grid!E2</f>
        <v>308.72706045824549</v>
      </c>
      <c r="H4" t="s">
        <v>13</v>
      </c>
      <c r="I4" s="2">
        <f>Monthly_PS_to_grid!F2</f>
        <v>301.20137336316662</v>
      </c>
      <c r="J4" s="2">
        <f>Monthly_PS_to_grid!G2</f>
        <v>293.24619596129071</v>
      </c>
      <c r="K4" s="2">
        <f>Monthly_PS_to_grid!H2</f>
        <v>283.98570431904528</v>
      </c>
      <c r="L4" s="2">
        <f>Monthly_PS_to_grid!I2</f>
        <v>267.98079212206738</v>
      </c>
    </row>
    <row r="5" spans="1:14" x14ac:dyDescent="0.2">
      <c r="A5" t="s">
        <v>14</v>
      </c>
      <c r="B5" s="2">
        <f>Monthly_PS_to_grid!B3</f>
        <v>275.01915244619431</v>
      </c>
      <c r="C5" s="2">
        <f>Monthly_PS_to_grid!C3</f>
        <v>275.04444365972728</v>
      </c>
      <c r="D5" s="2">
        <f>Monthly_PS_to_grid!D3</f>
        <v>275.06907221980629</v>
      </c>
      <c r="E5" s="2">
        <f>Monthly_PS_to_grid!E3</f>
        <v>275.11832881727457</v>
      </c>
      <c r="H5" t="s">
        <v>14</v>
      </c>
      <c r="I5" s="2">
        <f>Monthly_PS_to_grid!F3</f>
        <v>278.34287367373929</v>
      </c>
      <c r="J5" s="2">
        <f>Monthly_PS_to_grid!G3</f>
        <v>272.41129125366712</v>
      </c>
      <c r="K5" s="2">
        <f>Monthly_PS_to_grid!H3</f>
        <v>264.09103909087747</v>
      </c>
      <c r="L5" s="2">
        <f>Monthly_PS_to_grid!I3</f>
        <v>251.11990845182521</v>
      </c>
    </row>
    <row r="6" spans="1:14" x14ac:dyDescent="0.2">
      <c r="A6" t="s">
        <v>15</v>
      </c>
      <c r="B6" s="2">
        <f>Monthly_PS_to_grid!B4</f>
        <v>289.59177723695069</v>
      </c>
      <c r="C6" s="2">
        <f>Monthly_PS_to_grid!C4</f>
        <v>289.6201810742254</v>
      </c>
      <c r="D6" s="2">
        <f>Monthly_PS_to_grid!D4</f>
        <v>289.64858476801692</v>
      </c>
      <c r="E6" s="2">
        <f>Monthly_PS_to_grid!E4</f>
        <v>289.70539202182812</v>
      </c>
      <c r="H6" t="s">
        <v>15</v>
      </c>
      <c r="I6" s="2">
        <f>Monthly_PS_to_grid!F4</f>
        <v>280.67395490811958</v>
      </c>
      <c r="J6" s="2">
        <f>Monthly_PS_to_grid!G4</f>
        <v>273.42103601859162</v>
      </c>
      <c r="K6" s="2">
        <f>Monthly_PS_to_grid!H4</f>
        <v>266.74351190637441</v>
      </c>
      <c r="L6" s="2">
        <f>Monthly_PS_to_grid!I4</f>
        <v>258.45478968622228</v>
      </c>
    </row>
    <row r="7" spans="1:14" x14ac:dyDescent="0.2">
      <c r="A7" t="s">
        <v>16</v>
      </c>
      <c r="B7" s="2">
        <f>Monthly_PS_to_grid!B5</f>
        <v>259.59819761870978</v>
      </c>
      <c r="C7" s="2">
        <f>Monthly_PS_to_grid!C5</f>
        <v>259.62661555645832</v>
      </c>
      <c r="D7" s="2">
        <f>Monthly_PS_to_grid!D5</f>
        <v>259.65503340714531</v>
      </c>
      <c r="E7" s="2">
        <f>Monthly_PS_to_grid!E5</f>
        <v>259.71186882461342</v>
      </c>
      <c r="H7" t="s">
        <v>16</v>
      </c>
      <c r="I7" s="2">
        <f>Monthly_PS_to_grid!F5</f>
        <v>248.49604395572399</v>
      </c>
      <c r="J7" s="2">
        <f>Monthly_PS_to_grid!G5</f>
        <v>241.70853907033481</v>
      </c>
      <c r="K7" s="2">
        <f>Monthly_PS_to_grid!H5</f>
        <v>234.30167084323821</v>
      </c>
      <c r="L7" s="2">
        <f>Monthly_PS_to_grid!I5</f>
        <v>222.80721480471399</v>
      </c>
    </row>
    <row r="8" spans="1:14" x14ac:dyDescent="0.2">
      <c r="A8" t="s">
        <v>17</v>
      </c>
      <c r="B8" s="2">
        <f>Monthly_PS_to_grid!B6</f>
        <v>272.39634731860491</v>
      </c>
      <c r="C8" s="2">
        <f>Monthly_PS_to_grid!C6</f>
        <v>272.49227328925889</v>
      </c>
      <c r="D8" s="2">
        <f>Monthly_PS_to_grid!D6</f>
        <v>272.52162844815689</v>
      </c>
      <c r="E8" s="2">
        <f>Monthly_PS_to_grid!E6</f>
        <v>272.5803386784894</v>
      </c>
      <c r="H8" t="s">
        <v>17</v>
      </c>
      <c r="I8" s="2">
        <f>Monthly_PS_to_grid!F6</f>
        <v>262.59887604588931</v>
      </c>
      <c r="J8" s="2">
        <f>Monthly_PS_to_grid!G6</f>
        <v>257.54256668515012</v>
      </c>
      <c r="K8" s="2">
        <f>Monthly_PS_to_grid!H6</f>
        <v>251.03275889103921</v>
      </c>
      <c r="L8" s="2">
        <f>Monthly_PS_to_grid!I6</f>
        <v>241.8526601908612</v>
      </c>
    </row>
    <row r="9" spans="1:14" x14ac:dyDescent="0.2">
      <c r="A9" t="s">
        <v>18</v>
      </c>
      <c r="B9" s="2">
        <f>Monthly_PS_to_grid!B7</f>
        <v>249.72783638127851</v>
      </c>
      <c r="C9" s="2">
        <f>Monthly_PS_to_grid!C7</f>
        <v>249.7562407309193</v>
      </c>
      <c r="D9" s="2">
        <f>Monthly_PS_to_grid!D7</f>
        <v>249.78464479777759</v>
      </c>
      <c r="E9" s="2">
        <f>Monthly_PS_to_grid!E7</f>
        <v>249.84145244487999</v>
      </c>
      <c r="H9" t="s">
        <v>18</v>
      </c>
      <c r="I9" s="2">
        <f>Monthly_PS_to_grid!F7</f>
        <v>238.4690906409044</v>
      </c>
      <c r="J9" s="2">
        <f>Monthly_PS_to_grid!G7</f>
        <v>232.83488339156659</v>
      </c>
      <c r="K9" s="2">
        <f>Monthly_PS_to_grid!H7</f>
        <v>227.04418059988851</v>
      </c>
      <c r="L9" s="2">
        <f>Monthly_PS_to_grid!I7</f>
        <v>218.59174188497511</v>
      </c>
    </row>
    <row r="10" spans="1:14" x14ac:dyDescent="0.2">
      <c r="A10" t="s">
        <v>19</v>
      </c>
      <c r="B10" s="2">
        <f>Monthly_PS_to_grid!B8</f>
        <v>246.94029179222071</v>
      </c>
      <c r="C10" s="2">
        <f>Monthly_PS_to_grid!C8</f>
        <v>246.96965500396601</v>
      </c>
      <c r="D10" s="2">
        <f>Monthly_PS_to_grid!D8</f>
        <v>246.9990179708883</v>
      </c>
      <c r="E10" s="2">
        <f>Monthly_PS_to_grid!E8</f>
        <v>247.0577437889871</v>
      </c>
      <c r="H10" t="s">
        <v>19</v>
      </c>
      <c r="I10" s="2">
        <f>Monthly_PS_to_grid!F8</f>
        <v>238.23313899394461</v>
      </c>
      <c r="J10" s="2">
        <f>Monthly_PS_to_grid!G8</f>
        <v>230.34773173383101</v>
      </c>
      <c r="K10" s="2">
        <f>Monthly_PS_to_grid!H8</f>
        <v>222.6794502892744</v>
      </c>
      <c r="L10" s="2">
        <f>Monthly_PS_to_grid!I8</f>
        <v>211.08959192192731</v>
      </c>
    </row>
    <row r="11" spans="1:14" x14ac:dyDescent="0.2">
      <c r="A11" t="s">
        <v>20</v>
      </c>
      <c r="B11" s="2">
        <f>Monthly_PS_to_grid!B9</f>
        <v>245.16417806801411</v>
      </c>
      <c r="C11" s="2">
        <f>Monthly_PS_to_grid!C9</f>
        <v>245.19353145799769</v>
      </c>
      <c r="D11" s="2">
        <f>Monthly_PS_to_grid!D9</f>
        <v>245.2228847878992</v>
      </c>
      <c r="E11" s="2">
        <f>Monthly_PS_to_grid!E9</f>
        <v>245.2815907844253</v>
      </c>
      <c r="H11" t="s">
        <v>20</v>
      </c>
      <c r="I11" s="2">
        <f>Monthly_PS_to_grid!F9</f>
        <v>235.87479304642039</v>
      </c>
      <c r="J11" s="2">
        <f>Monthly_PS_to_grid!G9</f>
        <v>229.76752727996731</v>
      </c>
      <c r="K11" s="2">
        <f>Monthly_PS_to_grid!H9</f>
        <v>224.42883731494101</v>
      </c>
      <c r="L11" s="2">
        <f>Monthly_PS_to_grid!I9</f>
        <v>214.990761014284</v>
      </c>
    </row>
    <row r="12" spans="1:14" x14ac:dyDescent="0.2">
      <c r="A12" t="s">
        <v>21</v>
      </c>
      <c r="B12" s="2">
        <f>Monthly_PS_to_grid!B10</f>
        <v>259.65066751863498</v>
      </c>
      <c r="C12" s="2">
        <f>Monthly_PS_to_grid!C10</f>
        <v>259.67908170681528</v>
      </c>
      <c r="D12" s="2">
        <f>Monthly_PS_to_grid!D10</f>
        <v>259.70749549948079</v>
      </c>
      <c r="E12" s="2">
        <f>Monthly_PS_to_grid!E10</f>
        <v>259.76432289370882</v>
      </c>
      <c r="H12" t="s">
        <v>21</v>
      </c>
      <c r="I12" s="2">
        <f>Monthly_PS_to_grid!F10</f>
        <v>264.94360234987579</v>
      </c>
      <c r="J12" s="2">
        <f>Monthly_PS_to_grid!G10</f>
        <v>260.5551188767426</v>
      </c>
      <c r="K12" s="2">
        <f>Monthly_PS_to_grid!H10</f>
        <v>254.8001583717874</v>
      </c>
      <c r="L12" s="2">
        <f>Monthly_PS_to_grid!I10</f>
        <v>243.6002833773654</v>
      </c>
    </row>
    <row r="13" spans="1:14" x14ac:dyDescent="0.2">
      <c r="A13" t="s">
        <v>22</v>
      </c>
      <c r="B13" s="2">
        <f>Monthly_PS_to_grid!B11</f>
        <v>269.79794645070677</v>
      </c>
      <c r="C13" s="2">
        <f>Monthly_PS_to_grid!C11</f>
        <v>269.84611943837001</v>
      </c>
      <c r="D13" s="2">
        <f>Monthly_PS_to_grid!D11</f>
        <v>269.89429225453222</v>
      </c>
      <c r="E13" s="2">
        <f>Monthly_PS_to_grid!E11</f>
        <v>269.99063754767241</v>
      </c>
      <c r="H13" t="s">
        <v>22</v>
      </c>
      <c r="I13" s="2">
        <f>Monthly_PS_to_grid!F11</f>
        <v>279.76751598476022</v>
      </c>
      <c r="J13" s="2">
        <f>Monthly_PS_to_grid!G11</f>
        <v>273.04773833287447</v>
      </c>
      <c r="K13" s="2">
        <f>Monthly_PS_to_grid!H11</f>
        <v>266.35708201823888</v>
      </c>
      <c r="L13" s="2">
        <f>Monthly_PS_to_grid!I11</f>
        <v>253.40018102150319</v>
      </c>
    </row>
    <row r="14" spans="1:14" x14ac:dyDescent="0.2">
      <c r="A14" t="s">
        <v>23</v>
      </c>
      <c r="B14" s="2">
        <f>Monthly_PS_to_grid!B12</f>
        <v>261.85778302643178</v>
      </c>
      <c r="C14" s="2">
        <f>Monthly_PS_to_grid!C12</f>
        <v>261.90282158882889</v>
      </c>
      <c r="D14" s="2">
        <f>Monthly_PS_to_grid!D12</f>
        <v>261.94785995678131</v>
      </c>
      <c r="E14" s="2">
        <f>Monthly_PS_to_grid!E12</f>
        <v>262.03793603165201</v>
      </c>
      <c r="H14" t="s">
        <v>23</v>
      </c>
      <c r="I14" s="2">
        <f>Monthly_PS_to_grid!F12</f>
        <v>255.7759303181723</v>
      </c>
      <c r="J14" s="2">
        <f>Monthly_PS_to_grid!G12</f>
        <v>249.8155284730426</v>
      </c>
      <c r="K14" s="2">
        <f>Monthly_PS_to_grid!H12</f>
        <v>242.98122554745439</v>
      </c>
      <c r="L14" s="2">
        <f>Monthly_PS_to_grid!I12</f>
        <v>231.84001038689959</v>
      </c>
    </row>
    <row r="15" spans="1:14" x14ac:dyDescent="0.2">
      <c r="A15" t="s">
        <v>24</v>
      </c>
      <c r="B15" s="2">
        <f>Monthly_PS_to_grid!B13</f>
        <v>303.77261810169722</v>
      </c>
      <c r="C15" s="2">
        <f>Monthly_PS_to_grid!C13</f>
        <v>303.81740886868272</v>
      </c>
      <c r="D15" s="2">
        <f>Monthly_PS_to_grid!D13</f>
        <v>303.85964775471012</v>
      </c>
      <c r="E15" s="2">
        <f>Monthly_PS_to_grid!E13</f>
        <v>303.93990702212619</v>
      </c>
      <c r="H15" t="s">
        <v>24</v>
      </c>
      <c r="I15" s="2">
        <f>Monthly_PS_to_grid!F13</f>
        <v>293.51967595792411</v>
      </c>
      <c r="J15" s="2">
        <f>Monthly_PS_to_grid!G13</f>
        <v>286.61637197765788</v>
      </c>
      <c r="K15" s="2">
        <f>Monthly_PS_to_grid!H13</f>
        <v>278.20170069567951</v>
      </c>
      <c r="L15" s="2">
        <f>Monthly_PS_to_grid!I13</f>
        <v>261.61935352272047</v>
      </c>
    </row>
    <row r="20" spans="1:11" ht="16" x14ac:dyDescent="0.2">
      <c r="A20" s="1" t="s">
        <v>0</v>
      </c>
      <c r="B20" s="1" t="s">
        <v>9</v>
      </c>
      <c r="C20" s="1" t="s">
        <v>10</v>
      </c>
      <c r="D20" s="1" t="s">
        <v>11</v>
      </c>
      <c r="E20" s="1" t="s">
        <v>12</v>
      </c>
      <c r="H20" s="1" t="s">
        <v>0</v>
      </c>
      <c r="I20" s="1" t="s">
        <v>1</v>
      </c>
      <c r="J20" s="1" t="s">
        <v>5</v>
      </c>
      <c r="K20" s="1" t="s">
        <v>9</v>
      </c>
    </row>
    <row r="21" spans="1:11" x14ac:dyDescent="0.2">
      <c r="A21" t="s">
        <v>13</v>
      </c>
      <c r="B21" s="2">
        <f>Monthly_PS_to_grid!J2</f>
        <v>293.29455638187358</v>
      </c>
      <c r="C21" s="2">
        <f>Monthly_PS_to_grid!K2</f>
        <v>292.88688525105562</v>
      </c>
      <c r="D21" s="2">
        <f>Monthly_PS_to_grid!L2</f>
        <v>293.69852984301542</v>
      </c>
      <c r="E21" s="2">
        <f>Monthly_PS_to_grid!M2</f>
        <v>294.92064027850643</v>
      </c>
      <c r="H21" t="s">
        <v>13</v>
      </c>
      <c r="I21" s="2">
        <f>Monthly_PS_to_grid!B2</f>
        <v>308.63088032078792</v>
      </c>
      <c r="J21" s="2">
        <f>Monthly_PS_to_grid!F2</f>
        <v>301.20137336316662</v>
      </c>
      <c r="K21" s="2">
        <f>Monthly_PS_to_grid!J2</f>
        <v>293.29455638187358</v>
      </c>
    </row>
    <row r="22" spans="1:11" x14ac:dyDescent="0.2">
      <c r="A22" t="s">
        <v>14</v>
      </c>
      <c r="B22" s="2">
        <f>Monthly_PS_to_grid!J3</f>
        <v>256.02847216382048</v>
      </c>
      <c r="C22" s="2">
        <f>Monthly_PS_to_grid!K3</f>
        <v>252.19838097716871</v>
      </c>
      <c r="D22" s="2">
        <f>Monthly_PS_to_grid!L3</f>
        <v>252.13175927696611</v>
      </c>
      <c r="E22" s="2">
        <f>Monthly_PS_to_grid!M3</f>
        <v>253.47381650110731</v>
      </c>
      <c r="H22" t="s">
        <v>14</v>
      </c>
      <c r="I22" s="2">
        <f>Monthly_PS_to_grid!B3</f>
        <v>275.01915244619431</v>
      </c>
      <c r="J22" s="2">
        <f>Monthly_PS_to_grid!F3</f>
        <v>278.34287367373929</v>
      </c>
      <c r="K22" s="2">
        <f>Monthly_PS_to_grid!J3</f>
        <v>256.02847216382048</v>
      </c>
    </row>
    <row r="23" spans="1:11" x14ac:dyDescent="0.2">
      <c r="A23" t="s">
        <v>15</v>
      </c>
      <c r="B23" s="2">
        <f>Monthly_PS_to_grid!J4</f>
        <v>270.09539082681948</v>
      </c>
      <c r="C23" s="2">
        <f>Monthly_PS_to_grid!K4</f>
        <v>270.70135888650799</v>
      </c>
      <c r="D23" s="2">
        <f>Monthly_PS_to_grid!L4</f>
        <v>280.17633601805181</v>
      </c>
      <c r="E23" s="2">
        <f>Monthly_PS_to_grid!M4</f>
        <v>278.04561400722588</v>
      </c>
      <c r="H23" t="s">
        <v>15</v>
      </c>
      <c r="I23" s="2">
        <f>Monthly_PS_to_grid!B4</f>
        <v>289.59177723695069</v>
      </c>
      <c r="J23" s="2">
        <f>Monthly_PS_to_grid!F4</f>
        <v>280.67395490811958</v>
      </c>
      <c r="K23" s="2">
        <f>Monthly_PS_to_grid!J4</f>
        <v>270.09539082681948</v>
      </c>
    </row>
    <row r="24" spans="1:11" x14ac:dyDescent="0.2">
      <c r="A24" t="s">
        <v>16</v>
      </c>
      <c r="B24" s="2">
        <f>Monthly_PS_to_grid!J5</f>
        <v>245.56795537761599</v>
      </c>
      <c r="C24" s="2">
        <f>Monthly_PS_to_grid!K5</f>
        <v>243.27331486082821</v>
      </c>
      <c r="D24" s="2">
        <f>Monthly_PS_to_grid!L5</f>
        <v>253.53763830162839</v>
      </c>
      <c r="E24" s="2">
        <f>Monthly_PS_to_grid!M5</f>
        <v>259.29468701465669</v>
      </c>
      <c r="H24" t="s">
        <v>16</v>
      </c>
      <c r="I24" s="2">
        <f>Monthly_PS_to_grid!B5</f>
        <v>259.59819761870978</v>
      </c>
      <c r="J24" s="2">
        <f>Monthly_PS_to_grid!F5</f>
        <v>248.49604395572399</v>
      </c>
      <c r="K24" s="2">
        <f>Monthly_PS_to_grid!J5</f>
        <v>245.56795537761599</v>
      </c>
    </row>
    <row r="25" spans="1:11" x14ac:dyDescent="0.2">
      <c r="A25" t="s">
        <v>17</v>
      </c>
      <c r="B25" s="2">
        <f>Monthly_PS_to_grid!J6</f>
        <v>263.39059151174791</v>
      </c>
      <c r="C25" s="2">
        <f>Monthly_PS_to_grid!K6</f>
        <v>260.84891247651382</v>
      </c>
      <c r="D25" s="2">
        <f>Monthly_PS_to_grid!L6</f>
        <v>261.3267767033023</v>
      </c>
      <c r="E25" s="2">
        <f>Monthly_PS_to_grid!M6</f>
        <v>265.28196045506058</v>
      </c>
      <c r="H25" t="s">
        <v>17</v>
      </c>
      <c r="I25" s="2">
        <f>Monthly_PS_to_grid!B6</f>
        <v>272.39634731860491</v>
      </c>
      <c r="J25" s="2">
        <f>Monthly_PS_to_grid!F6</f>
        <v>262.59887604588931</v>
      </c>
      <c r="K25" s="2">
        <f>Monthly_PS_to_grid!J6</f>
        <v>263.39059151174791</v>
      </c>
    </row>
    <row r="26" spans="1:11" x14ac:dyDescent="0.2">
      <c r="A26" t="s">
        <v>18</v>
      </c>
      <c r="B26" s="2">
        <f>Monthly_PS_to_grid!J7</f>
        <v>239.8833415414289</v>
      </c>
      <c r="C26" s="2">
        <f>Monthly_PS_to_grid!K7</f>
        <v>237.0474480283722</v>
      </c>
      <c r="D26" s="2">
        <f>Monthly_PS_to_grid!L7</f>
        <v>238.70593010840719</v>
      </c>
      <c r="E26" s="2">
        <f>Monthly_PS_to_grid!M7</f>
        <v>242.98402877344901</v>
      </c>
      <c r="H26" t="s">
        <v>18</v>
      </c>
      <c r="I26" s="2">
        <f>Monthly_PS_to_grid!B7</f>
        <v>249.72783638127851</v>
      </c>
      <c r="J26" s="2">
        <f>Monthly_PS_to_grid!F7</f>
        <v>238.4690906409044</v>
      </c>
      <c r="K26" s="2">
        <f>Monthly_PS_to_grid!J7</f>
        <v>239.8833415414289</v>
      </c>
    </row>
    <row r="27" spans="1:11" x14ac:dyDescent="0.2">
      <c r="A27" t="s">
        <v>19</v>
      </c>
      <c r="B27" s="2">
        <f>Monthly_PS_to_grid!J8</f>
        <v>235.19127489550971</v>
      </c>
      <c r="C27" s="2">
        <f>Monthly_PS_to_grid!K8</f>
        <v>231.04795552912671</v>
      </c>
      <c r="D27" s="2">
        <f>Monthly_PS_to_grid!L8</f>
        <v>232.76813711373271</v>
      </c>
      <c r="E27" s="2">
        <f>Monthly_PS_to_grid!M8</f>
        <v>238.47538286590239</v>
      </c>
      <c r="H27" t="s">
        <v>19</v>
      </c>
      <c r="I27" s="2">
        <f>Monthly_PS_to_grid!B8</f>
        <v>246.94029179222071</v>
      </c>
      <c r="J27" s="2">
        <f>Monthly_PS_to_grid!F8</f>
        <v>238.23313899394461</v>
      </c>
      <c r="K27" s="2">
        <f>Monthly_PS_to_grid!J8</f>
        <v>235.19127489550971</v>
      </c>
    </row>
    <row r="28" spans="1:11" x14ac:dyDescent="0.2">
      <c r="A28" t="s">
        <v>20</v>
      </c>
      <c r="B28" s="2">
        <f>Monthly_PS_to_grid!J9</f>
        <v>237.68445959307729</v>
      </c>
      <c r="C28" s="2">
        <f>Monthly_PS_to_grid!K9</f>
        <v>235.9577241523109</v>
      </c>
      <c r="D28" s="2">
        <f>Monthly_PS_to_grid!L9</f>
        <v>257.79033585949958</v>
      </c>
      <c r="E28" s="2">
        <f>Monthly_PS_to_grid!M9</f>
        <v>272.54997881746181</v>
      </c>
      <c r="H28" t="s">
        <v>20</v>
      </c>
      <c r="I28" s="2">
        <f>Monthly_PS_to_grid!B9</f>
        <v>245.16417806801411</v>
      </c>
      <c r="J28" s="2">
        <f>Monthly_PS_to_grid!F9</f>
        <v>235.87479304642039</v>
      </c>
      <c r="K28" s="2">
        <f>Monthly_PS_to_grid!J9</f>
        <v>237.68445959307729</v>
      </c>
    </row>
    <row r="29" spans="1:11" x14ac:dyDescent="0.2">
      <c r="A29" t="s">
        <v>21</v>
      </c>
      <c r="B29" s="2">
        <f>Monthly_PS_to_grid!J10</f>
        <v>236.74852198539011</v>
      </c>
      <c r="C29" s="2">
        <f>Monthly_PS_to_grid!K10</f>
        <v>246.60572868501251</v>
      </c>
      <c r="D29" s="2">
        <f>Monthly_PS_to_grid!L10</f>
        <v>257.97614537484611</v>
      </c>
      <c r="E29" s="2">
        <f>Monthly_PS_to_grid!M10</f>
        <v>260.08752813394813</v>
      </c>
      <c r="H29" t="s">
        <v>21</v>
      </c>
      <c r="I29" s="2">
        <f>Monthly_PS_to_grid!B10</f>
        <v>259.65066751863498</v>
      </c>
      <c r="J29" s="2">
        <f>Monthly_PS_to_grid!F10</f>
        <v>264.94360234987579</v>
      </c>
      <c r="K29" s="2">
        <f>Monthly_PS_to_grid!J10</f>
        <v>236.74852198539011</v>
      </c>
    </row>
    <row r="30" spans="1:11" x14ac:dyDescent="0.2">
      <c r="A30" t="s">
        <v>22</v>
      </c>
      <c r="B30" s="2">
        <f>Monthly_PS_to_grid!J11</f>
        <v>243.02214942574929</v>
      </c>
      <c r="C30" s="2">
        <f>Monthly_PS_to_grid!K11</f>
        <v>243.98895770521989</v>
      </c>
      <c r="D30" s="2">
        <f>Monthly_PS_to_grid!L11</f>
        <v>250.36073801591459</v>
      </c>
      <c r="E30" s="2">
        <f>Monthly_PS_to_grid!M11</f>
        <v>253.94137440478909</v>
      </c>
      <c r="H30" t="s">
        <v>22</v>
      </c>
      <c r="I30" s="2">
        <f>Monthly_PS_to_grid!B11</f>
        <v>269.79794645070677</v>
      </c>
      <c r="J30" s="2">
        <f>Monthly_PS_to_grid!F11</f>
        <v>279.76751598476022</v>
      </c>
      <c r="K30" s="2">
        <f>Monthly_PS_to_grid!J11</f>
        <v>243.02214942574929</v>
      </c>
    </row>
    <row r="31" spans="1:11" x14ac:dyDescent="0.2">
      <c r="A31" t="s">
        <v>23</v>
      </c>
      <c r="B31" s="2">
        <f>Monthly_PS_to_grid!J12</f>
        <v>250.70134184011019</v>
      </c>
      <c r="C31" s="2">
        <f>Monthly_PS_to_grid!K12</f>
        <v>254.43977204819191</v>
      </c>
      <c r="D31" s="2">
        <f>Monthly_PS_to_grid!L12</f>
        <v>255.40892755429039</v>
      </c>
      <c r="E31" s="2">
        <f>Monthly_PS_to_grid!M12</f>
        <v>254.96529927754571</v>
      </c>
      <c r="H31" t="s">
        <v>23</v>
      </c>
      <c r="I31" s="2">
        <f>Monthly_PS_to_grid!B12</f>
        <v>261.85778302643178</v>
      </c>
      <c r="J31" s="2">
        <f>Monthly_PS_to_grid!F12</f>
        <v>255.7759303181723</v>
      </c>
      <c r="K31" s="2">
        <f>Monthly_PS_to_grid!J12</f>
        <v>250.70134184011019</v>
      </c>
    </row>
    <row r="32" spans="1:11" x14ac:dyDescent="0.2">
      <c r="A32" t="s">
        <v>24</v>
      </c>
      <c r="B32" s="2">
        <f>Monthly_PS_to_grid!J13</f>
        <v>296.15477105119419</v>
      </c>
      <c r="C32" s="2">
        <f>Monthly_PS_to_grid!K13</f>
        <v>296.06682698270782</v>
      </c>
      <c r="D32" s="2">
        <f>Monthly_PS_to_grid!L13</f>
        <v>296.52803780380418</v>
      </c>
      <c r="E32" s="2">
        <f>Monthly_PS_to_grid!M13</f>
        <v>295.51562930701562</v>
      </c>
      <c r="H32" t="s">
        <v>24</v>
      </c>
      <c r="I32" s="2">
        <f>Monthly_PS_to_grid!B13</f>
        <v>303.77261810169722</v>
      </c>
      <c r="J32" s="2">
        <f>Monthly_PS_to_grid!F13</f>
        <v>293.51967595792411</v>
      </c>
      <c r="K32" s="2">
        <f>Monthly_PS_to_grid!J13</f>
        <v>296.15477105119419</v>
      </c>
    </row>
    <row r="37" spans="1:11" ht="16" x14ac:dyDescent="0.2">
      <c r="A37" s="1" t="s">
        <v>0</v>
      </c>
      <c r="B37" s="1" t="s">
        <v>2</v>
      </c>
      <c r="C37" s="1" t="s">
        <v>6</v>
      </c>
      <c r="D37" s="1" t="s">
        <v>10</v>
      </c>
      <c r="H37" s="1" t="s">
        <v>0</v>
      </c>
      <c r="I37" s="1" t="s">
        <v>3</v>
      </c>
      <c r="J37" s="1" t="s">
        <v>7</v>
      </c>
      <c r="K37" s="1" t="s">
        <v>11</v>
      </c>
    </row>
    <row r="38" spans="1:11" x14ac:dyDescent="0.2">
      <c r="A38" t="s">
        <v>13</v>
      </c>
      <c r="B38" s="2">
        <f>Monthly_PS_to_grid!C2</f>
        <v>308.65549126827511</v>
      </c>
      <c r="C38" s="2">
        <f>Monthly_PS_to_grid!G2</f>
        <v>293.24619596129071</v>
      </c>
      <c r="D38" s="2">
        <f>Monthly_PS_to_grid!K2</f>
        <v>292.88688525105562</v>
      </c>
      <c r="H38" t="s">
        <v>13</v>
      </c>
      <c r="I38" s="2">
        <f>Monthly_PS_to_grid!D2</f>
        <v>308.67973145345019</v>
      </c>
      <c r="J38" s="2">
        <f>Monthly_PS_to_grid!H2</f>
        <v>283.98570431904528</v>
      </c>
      <c r="K38" s="2">
        <f>Monthly_PS_to_grid!L2</f>
        <v>293.69852984301542</v>
      </c>
    </row>
    <row r="39" spans="1:11" x14ac:dyDescent="0.2">
      <c r="A39" t="s">
        <v>14</v>
      </c>
      <c r="B39" s="2">
        <f>Monthly_PS_to_grid!C3</f>
        <v>275.04444365972728</v>
      </c>
      <c r="C39" s="2">
        <f>Monthly_PS_to_grid!G3</f>
        <v>272.41129125366712</v>
      </c>
      <c r="D39" s="2">
        <f>Monthly_PS_to_grid!K3</f>
        <v>252.19838097716871</v>
      </c>
      <c r="H39" t="s">
        <v>14</v>
      </c>
      <c r="I39" s="2">
        <f>Monthly_PS_to_grid!D3</f>
        <v>275.06907221980629</v>
      </c>
      <c r="J39" s="2">
        <f>Monthly_PS_to_grid!H3</f>
        <v>264.09103909087747</v>
      </c>
      <c r="K39" s="2">
        <f>Monthly_PS_to_grid!L3</f>
        <v>252.13175927696611</v>
      </c>
    </row>
    <row r="40" spans="1:11" x14ac:dyDescent="0.2">
      <c r="A40" t="s">
        <v>15</v>
      </c>
      <c r="B40" s="2">
        <f>Monthly_PS_to_grid!C4</f>
        <v>289.6201810742254</v>
      </c>
      <c r="C40" s="2">
        <f>Monthly_PS_to_grid!G4</f>
        <v>273.42103601859162</v>
      </c>
      <c r="D40" s="2">
        <f>Monthly_PS_to_grid!K4</f>
        <v>270.70135888650799</v>
      </c>
      <c r="H40" t="s">
        <v>15</v>
      </c>
      <c r="I40" s="2">
        <f>Monthly_PS_to_grid!D4</f>
        <v>289.64858476801692</v>
      </c>
      <c r="J40" s="2">
        <f>Monthly_PS_to_grid!H4</f>
        <v>266.74351190637441</v>
      </c>
      <c r="K40" s="2">
        <f>Monthly_PS_to_grid!L4</f>
        <v>280.17633601805181</v>
      </c>
    </row>
    <row r="41" spans="1:11" x14ac:dyDescent="0.2">
      <c r="A41" t="s">
        <v>16</v>
      </c>
      <c r="B41" s="2">
        <f>Monthly_PS_to_grid!C5</f>
        <v>259.62661555645832</v>
      </c>
      <c r="C41" s="2">
        <f>Monthly_PS_to_grid!G5</f>
        <v>241.70853907033481</v>
      </c>
      <c r="D41" s="2">
        <f>Monthly_PS_to_grid!K5</f>
        <v>243.27331486082821</v>
      </c>
      <c r="H41" t="s">
        <v>16</v>
      </c>
      <c r="I41" s="2">
        <f>Monthly_PS_to_grid!D5</f>
        <v>259.65503340714531</v>
      </c>
      <c r="J41" s="2">
        <f>Monthly_PS_to_grid!H5</f>
        <v>234.30167084323821</v>
      </c>
      <c r="K41" s="2">
        <f>Monthly_PS_to_grid!L5</f>
        <v>253.53763830162839</v>
      </c>
    </row>
    <row r="42" spans="1:11" x14ac:dyDescent="0.2">
      <c r="A42" t="s">
        <v>17</v>
      </c>
      <c r="B42" s="2">
        <f>Monthly_PS_to_grid!C6</f>
        <v>272.49227328925889</v>
      </c>
      <c r="C42" s="2">
        <f>Monthly_PS_to_grid!G6</f>
        <v>257.54256668515012</v>
      </c>
      <c r="D42" s="2">
        <f>Monthly_PS_to_grid!K6</f>
        <v>260.84891247651382</v>
      </c>
      <c r="H42" t="s">
        <v>17</v>
      </c>
      <c r="I42" s="2">
        <f>Monthly_PS_to_grid!D6</f>
        <v>272.52162844815689</v>
      </c>
      <c r="J42" s="2">
        <f>Monthly_PS_to_grid!H6</f>
        <v>251.03275889103921</v>
      </c>
      <c r="K42" s="2">
        <f>Monthly_PS_to_grid!L6</f>
        <v>261.3267767033023</v>
      </c>
    </row>
    <row r="43" spans="1:11" x14ac:dyDescent="0.2">
      <c r="A43" t="s">
        <v>18</v>
      </c>
      <c r="B43" s="2">
        <f>Monthly_PS_to_grid!C7</f>
        <v>249.7562407309193</v>
      </c>
      <c r="C43" s="2">
        <f>Monthly_PS_to_grid!G7</f>
        <v>232.83488339156659</v>
      </c>
      <c r="D43" s="2">
        <f>Monthly_PS_to_grid!K7</f>
        <v>237.0474480283722</v>
      </c>
      <c r="H43" t="s">
        <v>18</v>
      </c>
      <c r="I43" s="2">
        <f>Monthly_PS_to_grid!D7</f>
        <v>249.78464479777759</v>
      </c>
      <c r="J43" s="2">
        <f>Monthly_PS_to_grid!H7</f>
        <v>227.04418059988851</v>
      </c>
      <c r="K43" s="2">
        <f>Monthly_PS_to_grid!L7</f>
        <v>238.70593010840719</v>
      </c>
    </row>
    <row r="44" spans="1:11" x14ac:dyDescent="0.2">
      <c r="A44" t="s">
        <v>19</v>
      </c>
      <c r="B44" s="2">
        <f>Monthly_PS_to_grid!C8</f>
        <v>246.96965500396601</v>
      </c>
      <c r="C44" s="2">
        <f>Monthly_PS_to_grid!G8</f>
        <v>230.34773173383101</v>
      </c>
      <c r="D44" s="2">
        <f>Monthly_PS_to_grid!K8</f>
        <v>231.04795552912671</v>
      </c>
      <c r="H44" t="s">
        <v>19</v>
      </c>
      <c r="I44" s="2">
        <f>Monthly_PS_to_grid!D8</f>
        <v>246.9990179708883</v>
      </c>
      <c r="J44" s="2">
        <f>Monthly_PS_to_grid!H8</f>
        <v>222.6794502892744</v>
      </c>
      <c r="K44" s="2">
        <f>Monthly_PS_to_grid!L8</f>
        <v>232.76813711373271</v>
      </c>
    </row>
    <row r="45" spans="1:11" x14ac:dyDescent="0.2">
      <c r="A45" t="s">
        <v>20</v>
      </c>
      <c r="B45" s="2">
        <f>Monthly_PS_to_grid!C9</f>
        <v>245.19353145799769</v>
      </c>
      <c r="C45" s="2">
        <f>Monthly_PS_to_grid!G9</f>
        <v>229.76752727996731</v>
      </c>
      <c r="D45" s="2">
        <f>Monthly_PS_to_grid!K9</f>
        <v>235.9577241523109</v>
      </c>
      <c r="H45" t="s">
        <v>20</v>
      </c>
      <c r="I45" s="2">
        <f>Monthly_PS_to_grid!D9</f>
        <v>245.2228847878992</v>
      </c>
      <c r="J45" s="2">
        <f>Monthly_PS_to_grid!H9</f>
        <v>224.42883731494101</v>
      </c>
      <c r="K45" s="2">
        <f>Monthly_PS_to_grid!L9</f>
        <v>257.79033585949958</v>
      </c>
    </row>
    <row r="46" spans="1:11" x14ac:dyDescent="0.2">
      <c r="A46" t="s">
        <v>21</v>
      </c>
      <c r="B46" s="2">
        <f>Monthly_PS_to_grid!C10</f>
        <v>259.67908170681528</v>
      </c>
      <c r="C46" s="2">
        <f>Monthly_PS_to_grid!G10</f>
        <v>260.5551188767426</v>
      </c>
      <c r="D46" s="2">
        <f>Monthly_PS_to_grid!K10</f>
        <v>246.60572868501251</v>
      </c>
      <c r="H46" t="s">
        <v>21</v>
      </c>
      <c r="I46" s="2">
        <f>Monthly_PS_to_grid!D10</f>
        <v>259.70749549948079</v>
      </c>
      <c r="J46" s="2">
        <f>Monthly_PS_to_grid!H10</f>
        <v>254.8001583717874</v>
      </c>
      <c r="K46" s="2">
        <f>Monthly_PS_to_grid!L10</f>
        <v>257.97614537484611</v>
      </c>
    </row>
    <row r="47" spans="1:11" x14ac:dyDescent="0.2">
      <c r="A47" t="s">
        <v>22</v>
      </c>
      <c r="B47" s="2">
        <f>Monthly_PS_to_grid!C11</f>
        <v>269.84611943837001</v>
      </c>
      <c r="C47" s="2">
        <f>Monthly_PS_to_grid!G11</f>
        <v>273.04773833287447</v>
      </c>
      <c r="D47" s="2">
        <f>Monthly_PS_to_grid!K11</f>
        <v>243.98895770521989</v>
      </c>
      <c r="H47" t="s">
        <v>22</v>
      </c>
      <c r="I47" s="2">
        <f>Monthly_PS_to_grid!D11</f>
        <v>269.89429225453222</v>
      </c>
      <c r="J47" s="2">
        <f>Monthly_PS_to_grid!H11</f>
        <v>266.35708201823888</v>
      </c>
      <c r="K47" s="2">
        <f>Monthly_PS_to_grid!L11</f>
        <v>250.36073801591459</v>
      </c>
    </row>
    <row r="48" spans="1:11" x14ac:dyDescent="0.2">
      <c r="A48" t="s">
        <v>23</v>
      </c>
      <c r="B48" s="2">
        <f>Monthly_PS_to_grid!C12</f>
        <v>261.90282158882889</v>
      </c>
      <c r="C48" s="2">
        <f>Monthly_PS_to_grid!G12</f>
        <v>249.8155284730426</v>
      </c>
      <c r="D48" s="2">
        <f>Monthly_PS_to_grid!K12</f>
        <v>254.43977204819191</v>
      </c>
      <c r="H48" t="s">
        <v>23</v>
      </c>
      <c r="I48" s="2">
        <f>Monthly_PS_to_grid!D12</f>
        <v>261.94785995678131</v>
      </c>
      <c r="J48" s="2">
        <f>Monthly_PS_to_grid!H12</f>
        <v>242.98122554745439</v>
      </c>
      <c r="K48" s="2">
        <f>Monthly_PS_to_grid!L12</f>
        <v>255.40892755429039</v>
      </c>
    </row>
    <row r="49" spans="1:11" x14ac:dyDescent="0.2">
      <c r="A49" t="s">
        <v>24</v>
      </c>
      <c r="B49" s="2">
        <f>Monthly_PS_to_grid!C13</f>
        <v>303.81740886868272</v>
      </c>
      <c r="C49" s="2">
        <f>Monthly_PS_to_grid!G13</f>
        <v>286.61637197765788</v>
      </c>
      <c r="D49" s="2">
        <f>Monthly_PS_to_grid!K13</f>
        <v>296.06682698270782</v>
      </c>
      <c r="H49" t="s">
        <v>24</v>
      </c>
      <c r="I49" s="2">
        <f>Monthly_PS_to_grid!D13</f>
        <v>303.85964775471012</v>
      </c>
      <c r="J49" s="2">
        <f>Monthly_PS_to_grid!H13</f>
        <v>278.20170069567951</v>
      </c>
      <c r="K49" s="2">
        <f>Monthly_PS_to_grid!L13</f>
        <v>296.52803780380418</v>
      </c>
    </row>
    <row r="54" spans="1:11" ht="16" x14ac:dyDescent="0.2">
      <c r="A54" s="1" t="s">
        <v>0</v>
      </c>
      <c r="B54" s="1" t="s">
        <v>4</v>
      </c>
      <c r="C54" s="1" t="s">
        <v>8</v>
      </c>
      <c r="D54" s="1" t="s">
        <v>12</v>
      </c>
    </row>
    <row r="55" spans="1:11" x14ac:dyDescent="0.2">
      <c r="A55" t="s">
        <v>13</v>
      </c>
      <c r="B55" s="2">
        <f>Monthly_PS_to_grid!E2</f>
        <v>308.72706045824549</v>
      </c>
      <c r="C55" s="2">
        <f>Monthly_PS_to_grid!I2</f>
        <v>267.98079212206738</v>
      </c>
      <c r="D55" s="2">
        <f>Monthly_PS_to_grid!M2</f>
        <v>294.92064027850643</v>
      </c>
    </row>
    <row r="56" spans="1:11" x14ac:dyDescent="0.2">
      <c r="A56" t="s">
        <v>14</v>
      </c>
      <c r="B56" s="2">
        <f>Monthly_PS_to_grid!E3</f>
        <v>275.11832881727457</v>
      </c>
      <c r="C56" s="2">
        <f>Monthly_PS_to_grid!I3</f>
        <v>251.11990845182521</v>
      </c>
      <c r="D56" s="2">
        <f>Monthly_PS_to_grid!M3</f>
        <v>253.47381650110731</v>
      </c>
    </row>
    <row r="57" spans="1:11" x14ac:dyDescent="0.2">
      <c r="A57" t="s">
        <v>15</v>
      </c>
      <c r="B57" s="2">
        <f>Monthly_PS_to_grid!E4</f>
        <v>289.70539202182812</v>
      </c>
      <c r="C57" s="2">
        <f>Monthly_PS_to_grid!I4</f>
        <v>258.45478968622228</v>
      </c>
      <c r="D57" s="2">
        <f>Monthly_PS_to_grid!M4</f>
        <v>278.04561400722588</v>
      </c>
    </row>
    <row r="58" spans="1:11" x14ac:dyDescent="0.2">
      <c r="A58" t="s">
        <v>16</v>
      </c>
      <c r="B58" s="2">
        <f>Monthly_PS_to_grid!E5</f>
        <v>259.71186882461342</v>
      </c>
      <c r="C58" s="2">
        <f>Monthly_PS_to_grid!I5</f>
        <v>222.80721480471399</v>
      </c>
      <c r="D58" s="2">
        <f>Monthly_PS_to_grid!M5</f>
        <v>259.29468701465669</v>
      </c>
    </row>
    <row r="59" spans="1:11" x14ac:dyDescent="0.2">
      <c r="A59" t="s">
        <v>17</v>
      </c>
      <c r="B59" s="2">
        <f>Monthly_PS_to_grid!E6</f>
        <v>272.5803386784894</v>
      </c>
      <c r="C59" s="2">
        <f>Monthly_PS_to_grid!I6</f>
        <v>241.8526601908612</v>
      </c>
      <c r="D59" s="2">
        <f>Monthly_PS_to_grid!M6</f>
        <v>265.28196045506058</v>
      </c>
    </row>
    <row r="60" spans="1:11" x14ac:dyDescent="0.2">
      <c r="A60" t="s">
        <v>18</v>
      </c>
      <c r="B60" s="2">
        <f>Monthly_PS_to_grid!E7</f>
        <v>249.84145244487999</v>
      </c>
      <c r="C60" s="2">
        <f>Monthly_PS_to_grid!I7</f>
        <v>218.59174188497511</v>
      </c>
      <c r="D60" s="2">
        <f>Monthly_PS_to_grid!M7</f>
        <v>242.98402877344901</v>
      </c>
    </row>
    <row r="61" spans="1:11" x14ac:dyDescent="0.2">
      <c r="A61" t="s">
        <v>19</v>
      </c>
      <c r="B61" s="2">
        <f>Monthly_PS_to_grid!E8</f>
        <v>247.0577437889871</v>
      </c>
      <c r="C61" s="2">
        <f>Monthly_PS_to_grid!I8</f>
        <v>211.08959192192731</v>
      </c>
      <c r="D61" s="2">
        <f>Monthly_PS_to_grid!M8</f>
        <v>238.47538286590239</v>
      </c>
    </row>
    <row r="62" spans="1:11" x14ac:dyDescent="0.2">
      <c r="A62" t="s">
        <v>20</v>
      </c>
      <c r="B62" s="2">
        <f>Monthly_PS_to_grid!E9</f>
        <v>245.2815907844253</v>
      </c>
      <c r="C62" s="2">
        <f>Monthly_PS_to_grid!I9</f>
        <v>214.990761014284</v>
      </c>
      <c r="D62" s="2">
        <f>Monthly_PS_to_grid!M9</f>
        <v>272.54997881746181</v>
      </c>
    </row>
    <row r="63" spans="1:11" x14ac:dyDescent="0.2">
      <c r="A63" t="s">
        <v>21</v>
      </c>
      <c r="B63" s="2">
        <f>Monthly_PS_to_grid!E10</f>
        <v>259.76432289370882</v>
      </c>
      <c r="C63" s="2">
        <f>Monthly_PS_to_grid!I10</f>
        <v>243.6002833773654</v>
      </c>
      <c r="D63" s="2">
        <f>Monthly_PS_to_grid!M10</f>
        <v>260.08752813394813</v>
      </c>
    </row>
    <row r="64" spans="1:11" x14ac:dyDescent="0.2">
      <c r="A64" t="s">
        <v>22</v>
      </c>
      <c r="B64" s="2">
        <f>Monthly_PS_to_grid!E11</f>
        <v>269.99063754767241</v>
      </c>
      <c r="C64" s="2">
        <f>Monthly_PS_to_grid!I11</f>
        <v>253.40018102150319</v>
      </c>
      <c r="D64" s="2">
        <f>Monthly_PS_to_grid!M11</f>
        <v>253.94137440478909</v>
      </c>
    </row>
    <row r="65" spans="1:4" x14ac:dyDescent="0.2">
      <c r="A65" t="s">
        <v>23</v>
      </c>
      <c r="B65" s="2">
        <f>Monthly_PS_to_grid!E12</f>
        <v>262.03793603165201</v>
      </c>
      <c r="C65" s="2">
        <f>Monthly_PS_to_grid!I12</f>
        <v>231.84001038689959</v>
      </c>
      <c r="D65" s="2">
        <f>Monthly_PS_to_grid!M12</f>
        <v>254.96529927754571</v>
      </c>
    </row>
    <row r="66" spans="1:4" x14ac:dyDescent="0.2">
      <c r="A66" t="s">
        <v>24</v>
      </c>
      <c r="B66" s="2">
        <f>Monthly_PS_to_grid!E13</f>
        <v>303.93990702212619</v>
      </c>
      <c r="C66" s="2">
        <f>Monthly_PS_to_grid!I13</f>
        <v>261.61935352272047</v>
      </c>
      <c r="D66" s="2">
        <f>Monthly_PS_to_grid!M13</f>
        <v>295.51562930701562</v>
      </c>
    </row>
  </sheetData>
  <mergeCells count="1"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Monthly_PS_to_grid</vt:lpstr>
      <vt:lpstr>PS_to_grid_Charts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DEVVES</cp:lastModifiedBy>
  <dcterms:created xsi:type="dcterms:W3CDTF">2026-08-04T09:03:56Z</dcterms:created>
  <dcterms:modified xsi:type="dcterms:W3CDTF">2026-08-04T09:03:58Z</dcterms:modified>
</cp:coreProperties>
</file>